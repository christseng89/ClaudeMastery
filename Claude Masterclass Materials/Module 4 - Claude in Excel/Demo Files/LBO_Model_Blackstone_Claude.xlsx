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Stemplicity 2025\Courses\Claude Masterclass\Claude in Excel\Demo Files\"/>
    </mc:Choice>
  </mc:AlternateContent>
  <xr:revisionPtr revIDLastSave="0" documentId="8_{64C4A5F9-85DF-41D9-981E-0B23D34424A6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Assumptions" sheetId="1" r:id="rId1"/>
    <sheet name="Debt Schedule" sheetId="2" r:id="rId2"/>
    <sheet name="Returns Analysis" sheetId="3" r:id="rId3"/>
    <sheet name="IRR Cash Flows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4" i="4" l="1"/>
  <c r="B22" i="3"/>
  <c r="B14" i="3"/>
  <c r="B5" i="3"/>
  <c r="B4" i="3"/>
  <c r="B6" i="3" s="1"/>
  <c r="B9" i="3" s="1"/>
  <c r="B6" i="2"/>
  <c r="C4" i="2" s="1"/>
  <c r="B4" i="2"/>
  <c r="B22" i="1"/>
  <c r="B21" i="1"/>
  <c r="B8" i="1"/>
  <c r="B7" i="1"/>
  <c r="C8" i="2" l="1"/>
  <c r="C5" i="2"/>
  <c r="C12" i="2" l="1"/>
  <c r="C10" i="2"/>
  <c r="C6" i="2"/>
  <c r="D4" i="2" s="1"/>
  <c r="D8" i="2" l="1"/>
  <c r="D5" i="2"/>
  <c r="D12" i="2"/>
  <c r="D10" i="2" l="1"/>
  <c r="D6" i="2"/>
  <c r="E4" i="2" s="1"/>
  <c r="E6" i="2" l="1"/>
  <c r="F4" i="2" s="1"/>
  <c r="E8" i="2"/>
  <c r="E5" i="2"/>
  <c r="F8" i="2" l="1"/>
  <c r="F5" i="2"/>
  <c r="F6" i="2"/>
  <c r="G4" i="2" s="1"/>
  <c r="E10" i="2"/>
  <c r="E12" i="2"/>
  <c r="F12" i="2" s="1"/>
  <c r="G8" i="2" l="1"/>
  <c r="B24" i="3" s="1"/>
  <c r="G5" i="2"/>
  <c r="G10" i="2" s="1"/>
  <c r="F10" i="2"/>
  <c r="G6" i="2" l="1"/>
  <c r="B10" i="3" s="1"/>
  <c r="B11" i="3" s="1"/>
  <c r="G12" i="2"/>
  <c r="B23" i="3" s="1"/>
  <c r="G4" i="4" l="1"/>
  <c r="B15" i="3"/>
  <c r="B7" i="4" l="1"/>
  <c r="B6" i="4"/>
  <c r="B16" i="3"/>
  <c r="B19" i="3"/>
  <c r="B18" i="3"/>
</calcChain>
</file>

<file path=xl/sharedStrings.xml><?xml version="1.0" encoding="utf-8"?>
<sst xmlns="http://schemas.openxmlformats.org/spreadsheetml/2006/main" count="63" uniqueCount="56">
  <si>
    <t>LBO Model – Key Assumptions</t>
  </si>
  <si>
    <t>Transaction Summary</t>
  </si>
  <si>
    <t>Total Purchase Price ($mm)</t>
  </si>
  <si>
    <t>Debt Financing ($mm)</t>
  </si>
  <si>
    <t>Equity Contribution ($mm)</t>
  </si>
  <si>
    <t>Leverage Ratio (Debt / Purchase)</t>
  </si>
  <si>
    <t>Equity Ratio (Equity / Purchase)</t>
  </si>
  <si>
    <t>Operating Assumptions</t>
  </si>
  <si>
    <t>Base EBITDA ($mm)</t>
  </si>
  <si>
    <t>EBITDA at Exit – Year 5 ($mm)</t>
  </si>
  <si>
    <t>Exit Multiple</t>
  </si>
  <si>
    <t>Investment Horizon (Years)</t>
  </si>
  <si>
    <t>Debt Assumptions</t>
  </si>
  <si>
    <t>Interest Rate</t>
  </si>
  <si>
    <t>Annual Principal Repayment ($mm)</t>
  </si>
  <si>
    <t>Derived Metrics</t>
  </si>
  <si>
    <t>Entry EV / EBITDA Multiple</t>
  </si>
  <si>
    <t>Exit Enterprise Value ($mm)</t>
  </si>
  <si>
    <t>Debt Repayment Schedule ($mm)</t>
  </si>
  <si>
    <t>At Close</t>
  </si>
  <si>
    <t>Year 1</t>
  </si>
  <si>
    <t>Year 2</t>
  </si>
  <si>
    <t>Year 3</t>
  </si>
  <si>
    <t>Year 4</t>
  </si>
  <si>
    <t>Year 5</t>
  </si>
  <si>
    <t>Beginning Debt Balance</t>
  </si>
  <si>
    <t>Annual Principal Repayment</t>
  </si>
  <si>
    <t>Ending Debt Balance</t>
  </si>
  <si>
    <t>Interest Expense (on Beg. Balance)</t>
  </si>
  <si>
    <t>Total Debt Service (Principal + Interest)</t>
  </si>
  <si>
    <t>Cumulative Principal Repaid</t>
  </si>
  <si>
    <t>LBO Returns Analysis</t>
  </si>
  <si>
    <t>Exit Valuation</t>
  </si>
  <si>
    <t>EBITDA at Exit (Year 5) ($mm)</t>
  </si>
  <si>
    <t>Enterprise Value at Exit ($mm)</t>
  </si>
  <si>
    <t>EV = EBITDA × Exit Multiple</t>
  </si>
  <si>
    <t>Equity Value at Exit</t>
  </si>
  <si>
    <t>Less: Remaining Debt at Exit ($mm)</t>
  </si>
  <si>
    <t>Ending balance Year 5</t>
  </si>
  <si>
    <t>Equity Value to Investors ($mm)</t>
  </si>
  <si>
    <t>Investor Returns</t>
  </si>
  <si>
    <t>Initial Equity Investment ($mm)</t>
  </si>
  <si>
    <t>Equity Proceeds at Exit ($mm)</t>
  </si>
  <si>
    <t>Dollar Gain ($mm)</t>
  </si>
  <si>
    <t>MOIC (Multiple of Invested Capital)</t>
  </si>
  <si>
    <t>IRR (Internal Rate of Return)</t>
  </si>
  <si>
    <t>Return Drivers Summary</t>
  </si>
  <si>
    <t>Return from EBITDA Growth</t>
  </si>
  <si>
    <t>EBITDA growth over hold period</t>
  </si>
  <si>
    <t>Total Debt Repaid ($mm)</t>
  </si>
  <si>
    <t>Total Interest Paid ($mm)</t>
  </si>
  <si>
    <t>IRR Calculation – Equity Cash Flows ($mm)</t>
  </si>
  <si>
    <t>Year 0</t>
  </si>
  <si>
    <t>Equity Cash Flow ($mm)</t>
  </si>
  <si>
    <t>IRR (Excel IRR Function)</t>
  </si>
  <si>
    <t>MOIC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</si>
</sst>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"/>
    <numFmt numFmtId="166" formatCode="0.0\x"/>
  </numFmts>
  <fonts count="9" x14ac:knownFonts="1">
    <font>
      <sz val="11"/>
      <color theme="1"/>
      <name val="Calibri"/>
      <family val="2"/>
      <charset val="1"/>
    </font>
    <font>
      <b/>
      <sz val="14"/>
      <color rgb="FF000000"/>
      <name val="Arial"/>
      <charset val="1"/>
    </font>
    <font>
      <b/>
      <sz val="12"/>
      <color rgb="FF000000"/>
      <name val="Arial"/>
      <charset val="1"/>
    </font>
    <font>
      <b/>
      <sz val="11"/>
      <color rgb="FF000000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b/>
      <sz val="11"/>
      <color rgb="FFFFFFFF"/>
      <name val="Arial"/>
      <charset val="1"/>
    </font>
    <font>
      <sz val="11"/>
      <color rgb="FF008000"/>
      <name val="Arial"/>
      <charset val="1"/>
    </font>
    <font>
      <i/>
      <sz val="10"/>
      <color rgb="FF808080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9"/>
        <bgColor rgb="FF003366"/>
      </patternFill>
    </fill>
    <fill>
      <patternFill patternType="solid">
        <fgColor rgb="FFD6E4F0"/>
        <bgColor rgb="FFCCFFFF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1" xfId="0" applyFont="1" applyBorder="1"/>
    <xf numFmtId="0" fontId="3" fillId="0" borderId="0" xfId="0" applyFont="1" applyAlignment="1">
      <alignment horizontal="left" vertical="center"/>
    </xf>
    <xf numFmtId="164" fontId="4" fillId="2" borderId="0" xfId="0" applyNumberFormat="1" applyFont="1" applyFill="1"/>
    <xf numFmtId="165" fontId="5" fillId="0" borderId="0" xfId="0" applyNumberFormat="1" applyFont="1"/>
    <xf numFmtId="166" fontId="4" fillId="2" borderId="0" xfId="0" applyNumberFormat="1" applyFont="1" applyFill="1"/>
    <xf numFmtId="3" fontId="4" fillId="2" borderId="0" xfId="0" applyNumberFormat="1" applyFont="1" applyFill="1"/>
    <xf numFmtId="165" fontId="4" fillId="2" borderId="0" xfId="0" applyNumberFormat="1" applyFont="1" applyFill="1"/>
    <xf numFmtId="166" fontId="5" fillId="0" borderId="0" xfId="0" applyNumberFormat="1" applyFont="1"/>
    <xf numFmtId="164" fontId="5" fillId="0" borderId="0" xfId="0" applyNumberFormat="1" applyFont="1"/>
    <xf numFmtId="0" fontId="6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4" fontId="7" fillId="4" borderId="0" xfId="0" applyNumberFormat="1" applyFont="1" applyFill="1" applyAlignment="1">
      <alignment horizontal="center" vertical="center"/>
    </xf>
    <xf numFmtId="164" fontId="5" fillId="4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164" fontId="7" fillId="0" borderId="0" xfId="0" applyNumberFormat="1" applyFont="1"/>
    <xf numFmtId="166" fontId="7" fillId="0" borderId="0" xfId="0" applyNumberFormat="1" applyFont="1"/>
    <xf numFmtId="0" fontId="8" fillId="0" borderId="0" xfId="0" applyFont="1"/>
    <xf numFmtId="164" fontId="5" fillId="0" borderId="2" xfId="0" applyNumberFormat="1" applyFont="1" applyBorder="1"/>
    <xf numFmtId="0" fontId="5" fillId="0" borderId="0" xfId="0" applyFont="1"/>
    <xf numFmtId="166" fontId="5" fillId="5" borderId="0" xfId="0" applyNumberFormat="1" applyFont="1" applyFill="1"/>
    <xf numFmtId="165" fontId="5" fillId="5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9"/>
  </sheetPr>
  <dimension ref="A1:C22"/>
  <sheetViews>
    <sheetView tabSelected="1" zoomScaleNormal="100" workbookViewId="0">
      <selection sqref="A1:C1"/>
    </sheetView>
  </sheetViews>
  <sheetFormatPr defaultColWidth="8.7109375" defaultRowHeight="15" x14ac:dyDescent="0.25"/>
  <cols>
    <col min="1" max="1" width="35" customWidth="1"/>
    <col min="2" max="2" width="20" customWidth="1"/>
    <col min="3" max="3" width="30" customWidth="1"/>
  </cols>
  <sheetData>
    <row r="1" spans="1:3" ht="18" x14ac:dyDescent="0.25">
      <c r="A1" s="1" t="s">
        <v>0</v>
      </c>
      <c r="B1" s="1"/>
      <c r="C1" s="1"/>
    </row>
    <row r="3" spans="1:3" ht="15.75" x14ac:dyDescent="0.25">
      <c r="A3" s="2" t="s">
        <v>1</v>
      </c>
      <c r="B3" s="2"/>
      <c r="C3" s="2"/>
    </row>
    <row r="4" spans="1:3" x14ac:dyDescent="0.25">
      <c r="A4" s="3" t="s">
        <v>2</v>
      </c>
      <c r="B4" s="4">
        <v>100</v>
      </c>
    </row>
    <row r="5" spans="1:3" x14ac:dyDescent="0.25">
      <c r="A5" s="3" t="s">
        <v>3</v>
      </c>
      <c r="B5" s="4">
        <v>70</v>
      </c>
    </row>
    <row r="6" spans="1:3" x14ac:dyDescent="0.25">
      <c r="A6" s="3" t="s">
        <v>4</v>
      </c>
      <c r="B6" s="4">
        <v>30</v>
      </c>
    </row>
    <row r="7" spans="1:3" x14ac:dyDescent="0.25">
      <c r="A7" s="3" t="s">
        <v>5</v>
      </c>
      <c r="B7" s="5">
        <f>B5/B4</f>
        <v>0.7</v>
      </c>
    </row>
    <row r="8" spans="1:3" x14ac:dyDescent="0.25">
      <c r="A8" s="3" t="s">
        <v>6</v>
      </c>
      <c r="B8" s="5">
        <f>B6/B4</f>
        <v>0.3</v>
      </c>
    </row>
    <row r="10" spans="1:3" ht="15.75" x14ac:dyDescent="0.25">
      <c r="A10" s="2" t="s">
        <v>7</v>
      </c>
      <c r="B10" s="2"/>
      <c r="C10" s="2"/>
    </row>
    <row r="11" spans="1:3" x14ac:dyDescent="0.25">
      <c r="A11" s="3" t="s">
        <v>8</v>
      </c>
      <c r="B11" s="4">
        <v>20</v>
      </c>
    </row>
    <row r="12" spans="1:3" x14ac:dyDescent="0.25">
      <c r="A12" s="3" t="s">
        <v>9</v>
      </c>
      <c r="B12" s="4">
        <v>22</v>
      </c>
    </row>
    <row r="13" spans="1:3" x14ac:dyDescent="0.25">
      <c r="A13" s="3" t="s">
        <v>10</v>
      </c>
      <c r="B13" s="6">
        <v>6</v>
      </c>
    </row>
    <row r="14" spans="1:3" x14ac:dyDescent="0.25">
      <c r="A14" s="3" t="s">
        <v>11</v>
      </c>
      <c r="B14" s="7">
        <v>5</v>
      </c>
    </row>
    <row r="16" spans="1:3" ht="15.75" x14ac:dyDescent="0.25">
      <c r="A16" s="2" t="s">
        <v>12</v>
      </c>
      <c r="B16" s="2"/>
      <c r="C16" s="2"/>
    </row>
    <row r="17" spans="1:3" x14ac:dyDescent="0.25">
      <c r="A17" s="3" t="s">
        <v>13</v>
      </c>
      <c r="B17" s="8">
        <v>0.1</v>
      </c>
    </row>
    <row r="18" spans="1:3" x14ac:dyDescent="0.25">
      <c r="A18" s="3" t="s">
        <v>14</v>
      </c>
      <c r="B18" s="4">
        <v>10</v>
      </c>
    </row>
    <row r="20" spans="1:3" ht="15.75" x14ac:dyDescent="0.25">
      <c r="A20" s="2" t="s">
        <v>15</v>
      </c>
      <c r="B20" s="2"/>
      <c r="C20" s="2"/>
    </row>
    <row r="21" spans="1:3" x14ac:dyDescent="0.25">
      <c r="A21" s="3" t="s">
        <v>16</v>
      </c>
      <c r="B21" s="9">
        <f>B4/B11</f>
        <v>5</v>
      </c>
    </row>
    <row r="22" spans="1:3" x14ac:dyDescent="0.25">
      <c r="A22" s="3" t="s">
        <v>17</v>
      </c>
      <c r="B22" s="10">
        <f>B12*B13</f>
        <v>132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G12"/>
  <sheetViews>
    <sheetView zoomScaleNormal="100" workbookViewId="0"/>
  </sheetViews>
  <sheetFormatPr defaultColWidth="8.7109375" defaultRowHeight="15" x14ac:dyDescent="0.25"/>
  <cols>
    <col min="1" max="1" width="30" customWidth="1"/>
    <col min="2" max="7" width="18" customWidth="1"/>
  </cols>
  <sheetData>
    <row r="1" spans="1:7" ht="18" x14ac:dyDescent="0.25">
      <c r="A1" s="1" t="s">
        <v>18</v>
      </c>
      <c r="B1" s="1"/>
      <c r="C1" s="1"/>
      <c r="D1" s="1"/>
      <c r="E1" s="1"/>
      <c r="F1" s="1"/>
      <c r="G1" s="1"/>
    </row>
    <row r="3" spans="1:7" x14ac:dyDescent="0.25">
      <c r="A3" s="11"/>
      <c r="B3" s="11" t="s">
        <v>19</v>
      </c>
      <c r="C3" s="11" t="s">
        <v>20</v>
      </c>
      <c r="D3" s="11" t="s">
        <v>21</v>
      </c>
      <c r="E3" s="11" t="s">
        <v>22</v>
      </c>
      <c r="F3" s="11" t="s">
        <v>23</v>
      </c>
      <c r="G3" s="11" t="s">
        <v>24</v>
      </c>
    </row>
    <row r="4" spans="1:7" x14ac:dyDescent="0.25">
      <c r="A4" s="12" t="s">
        <v>25</v>
      </c>
      <c r="B4" s="13">
        <f>Assumptions!B5</f>
        <v>70</v>
      </c>
      <c r="C4" s="14">
        <f>B6</f>
        <v>70</v>
      </c>
      <c r="D4" s="14">
        <f>C6</f>
        <v>60</v>
      </c>
      <c r="E4" s="14">
        <f>D6</f>
        <v>50</v>
      </c>
      <c r="F4" s="14">
        <f>E6</f>
        <v>40</v>
      </c>
      <c r="G4" s="14">
        <f>F6</f>
        <v>30</v>
      </c>
    </row>
    <row r="5" spans="1:7" x14ac:dyDescent="0.25">
      <c r="A5" s="15" t="s">
        <v>26</v>
      </c>
      <c r="B5" s="16"/>
      <c r="C5" s="17">
        <f>MIN(Assumptions!$B$18,C4)</f>
        <v>10</v>
      </c>
      <c r="D5" s="17">
        <f>MIN(Assumptions!$B$18,D4)</f>
        <v>10</v>
      </c>
      <c r="E5" s="17">
        <f>MIN(Assumptions!$B$18,E4)</f>
        <v>10</v>
      </c>
      <c r="F5" s="17">
        <f>MIN(Assumptions!$B$18,F4)</f>
        <v>10</v>
      </c>
      <c r="G5" s="17">
        <f>MIN(Assumptions!$B$18,G4)</f>
        <v>10</v>
      </c>
    </row>
    <row r="6" spans="1:7" x14ac:dyDescent="0.25">
      <c r="A6" s="3" t="s">
        <v>27</v>
      </c>
      <c r="B6" s="18">
        <f>Assumptions!B5</f>
        <v>70</v>
      </c>
      <c r="C6" s="17">
        <f>C4-C5</f>
        <v>60</v>
      </c>
      <c r="D6" s="17">
        <f>D4-D5</f>
        <v>50</v>
      </c>
      <c r="E6" s="17">
        <f>E4-E5</f>
        <v>40</v>
      </c>
      <c r="F6" s="17">
        <f>F4-F5</f>
        <v>30</v>
      </c>
      <c r="G6" s="17">
        <f>G4-G5</f>
        <v>20</v>
      </c>
    </row>
    <row r="7" spans="1:7" x14ac:dyDescent="0.25">
      <c r="A7" s="15"/>
    </row>
    <row r="8" spans="1:7" x14ac:dyDescent="0.25">
      <c r="A8" s="12" t="s">
        <v>28</v>
      </c>
      <c r="B8" s="19"/>
      <c r="C8" s="14">
        <f>C4*Assumptions!$B$17</f>
        <v>7</v>
      </c>
      <c r="D8" s="14">
        <f>D4*Assumptions!$B$17</f>
        <v>6</v>
      </c>
      <c r="E8" s="14">
        <f>E4*Assumptions!$B$17</f>
        <v>5</v>
      </c>
      <c r="F8" s="14">
        <f>F4*Assumptions!$B$17</f>
        <v>4</v>
      </c>
      <c r="G8" s="14">
        <f>G4*Assumptions!$B$17</f>
        <v>3</v>
      </c>
    </row>
    <row r="9" spans="1:7" x14ac:dyDescent="0.25">
      <c r="A9" s="15"/>
    </row>
    <row r="10" spans="1:7" x14ac:dyDescent="0.25">
      <c r="A10" s="3" t="s">
        <v>29</v>
      </c>
      <c r="B10" s="16"/>
      <c r="C10" s="17">
        <f>C5+C8</f>
        <v>17</v>
      </c>
      <c r="D10" s="17">
        <f>D5+D8</f>
        <v>16</v>
      </c>
      <c r="E10" s="17">
        <f>E5+E8</f>
        <v>15</v>
      </c>
      <c r="F10" s="17">
        <f>F5+F8</f>
        <v>14</v>
      </c>
      <c r="G10" s="17">
        <f>G5+G8</f>
        <v>13</v>
      </c>
    </row>
    <row r="11" spans="1:7" x14ac:dyDescent="0.25">
      <c r="A11" s="15"/>
    </row>
    <row r="12" spans="1:7" x14ac:dyDescent="0.25">
      <c r="A12" s="12" t="s">
        <v>30</v>
      </c>
      <c r="B12" s="14">
        <v>0</v>
      </c>
      <c r="C12" s="14">
        <f>B12+C5</f>
        <v>10</v>
      </c>
      <c r="D12" s="14">
        <f>C12+D5</f>
        <v>20</v>
      </c>
      <c r="E12" s="14">
        <f>D12+E5</f>
        <v>30</v>
      </c>
      <c r="F12" s="14">
        <f>E12+F5</f>
        <v>40</v>
      </c>
      <c r="G12" s="14">
        <f>F12+G5</f>
        <v>50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C24"/>
  <sheetViews>
    <sheetView zoomScaleNormal="100" workbookViewId="0"/>
  </sheetViews>
  <sheetFormatPr defaultColWidth="8.7109375" defaultRowHeight="15" x14ac:dyDescent="0.25"/>
  <cols>
    <col min="1" max="1" width="38" customWidth="1"/>
    <col min="2" max="2" width="22" customWidth="1"/>
    <col min="3" max="3" width="30" customWidth="1"/>
  </cols>
  <sheetData>
    <row r="1" spans="1:3" ht="18" x14ac:dyDescent="0.25">
      <c r="A1" s="1" t="s">
        <v>31</v>
      </c>
      <c r="B1" s="1"/>
      <c r="C1" s="1"/>
    </row>
    <row r="3" spans="1:3" ht="15.75" x14ac:dyDescent="0.25">
      <c r="A3" s="2" t="s">
        <v>32</v>
      </c>
      <c r="B3" s="2"/>
      <c r="C3" s="2"/>
    </row>
    <row r="4" spans="1:3" x14ac:dyDescent="0.25">
      <c r="A4" s="3" t="s">
        <v>33</v>
      </c>
      <c r="B4" s="20">
        <f>Assumptions!B12</f>
        <v>22</v>
      </c>
    </row>
    <row r="5" spans="1:3" x14ac:dyDescent="0.25">
      <c r="A5" s="3" t="s">
        <v>10</v>
      </c>
      <c r="B5" s="21">
        <f>Assumptions!B13</f>
        <v>6</v>
      </c>
    </row>
    <row r="6" spans="1:3" x14ac:dyDescent="0.25">
      <c r="A6" s="3" t="s">
        <v>34</v>
      </c>
      <c r="B6" s="10">
        <f>B4*B5</f>
        <v>132</v>
      </c>
      <c r="C6" s="22" t="s">
        <v>35</v>
      </c>
    </row>
    <row r="8" spans="1:3" ht="15.75" x14ac:dyDescent="0.25">
      <c r="A8" s="2" t="s">
        <v>36</v>
      </c>
      <c r="B8" s="2"/>
      <c r="C8" s="2"/>
    </row>
    <row r="9" spans="1:3" x14ac:dyDescent="0.25">
      <c r="A9" s="3" t="s">
        <v>34</v>
      </c>
      <c r="B9" s="10">
        <f>B6</f>
        <v>132</v>
      </c>
    </row>
    <row r="10" spans="1:3" x14ac:dyDescent="0.25">
      <c r="A10" s="3" t="s">
        <v>37</v>
      </c>
      <c r="B10" s="20">
        <f>'Debt Schedule'!G6</f>
        <v>20</v>
      </c>
      <c r="C10" s="22" t="s">
        <v>38</v>
      </c>
    </row>
    <row r="11" spans="1:3" x14ac:dyDescent="0.25">
      <c r="A11" s="3" t="s">
        <v>39</v>
      </c>
      <c r="B11" s="23">
        <f>B9-B10</f>
        <v>112</v>
      </c>
    </row>
    <row r="13" spans="1:3" ht="15.75" x14ac:dyDescent="0.25">
      <c r="A13" s="2" t="s">
        <v>40</v>
      </c>
      <c r="B13" s="2"/>
      <c r="C13" s="2"/>
    </row>
    <row r="14" spans="1:3" x14ac:dyDescent="0.25">
      <c r="A14" s="3" t="s">
        <v>41</v>
      </c>
      <c r="B14" s="20">
        <f>Assumptions!B6</f>
        <v>30</v>
      </c>
    </row>
    <row r="15" spans="1:3" x14ac:dyDescent="0.25">
      <c r="A15" s="3" t="s">
        <v>42</v>
      </c>
      <c r="B15" s="10">
        <f>B11</f>
        <v>112</v>
      </c>
    </row>
    <row r="16" spans="1:3" x14ac:dyDescent="0.25">
      <c r="A16" s="3" t="s">
        <v>43</v>
      </c>
      <c r="B16" s="10">
        <f>B15-B14</f>
        <v>82</v>
      </c>
    </row>
    <row r="17" spans="1:3" x14ac:dyDescent="0.25">
      <c r="A17" s="24"/>
    </row>
    <row r="18" spans="1:3" x14ac:dyDescent="0.25">
      <c r="A18" s="3" t="s">
        <v>44</v>
      </c>
      <c r="B18" s="25">
        <f>B15/B14</f>
        <v>3.7333333333333334</v>
      </c>
    </row>
    <row r="19" spans="1:3" x14ac:dyDescent="0.25">
      <c r="A19" s="3" t="s">
        <v>45</v>
      </c>
      <c r="B19" s="26">
        <f>(B15/B14)^(1/Assumptions!B14)-1</f>
        <v>0.30142562462025202</v>
      </c>
    </row>
    <row r="21" spans="1:3" ht="15.75" x14ac:dyDescent="0.25">
      <c r="A21" s="2" t="s">
        <v>46</v>
      </c>
      <c r="B21" s="2"/>
      <c r="C21" s="2"/>
    </row>
    <row r="22" spans="1:3" x14ac:dyDescent="0.25">
      <c r="A22" s="15" t="s">
        <v>47</v>
      </c>
      <c r="B22" s="5">
        <f>(Assumptions!B12-Assumptions!B11)/Assumptions!B11</f>
        <v>0.1</v>
      </c>
      <c r="C22" s="22" t="s">
        <v>48</v>
      </c>
    </row>
    <row r="23" spans="1:3" x14ac:dyDescent="0.25">
      <c r="A23" s="15" t="s">
        <v>49</v>
      </c>
      <c r="B23" s="20">
        <f>'Debt Schedule'!G12</f>
        <v>50</v>
      </c>
    </row>
    <row r="24" spans="1:3" x14ac:dyDescent="0.25">
      <c r="A24" s="15" t="s">
        <v>50</v>
      </c>
      <c r="B24" s="20">
        <f>SUM('Debt Schedule'!C8:G8)</f>
        <v>25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G7"/>
  <sheetViews>
    <sheetView zoomScaleNormal="100" workbookViewId="0"/>
  </sheetViews>
  <sheetFormatPr defaultColWidth="8.7109375" defaultRowHeight="15" x14ac:dyDescent="0.25"/>
  <cols>
    <col min="1" max="1" width="30" customWidth="1"/>
    <col min="2" max="7" width="18" customWidth="1"/>
  </cols>
  <sheetData>
    <row r="1" spans="1:7" ht="18" x14ac:dyDescent="0.25">
      <c r="A1" s="1" t="s">
        <v>51</v>
      </c>
      <c r="B1" s="1"/>
      <c r="C1" s="1"/>
      <c r="D1" s="1"/>
      <c r="E1" s="1"/>
      <c r="F1" s="1"/>
      <c r="G1" s="1"/>
    </row>
    <row r="3" spans="1:7" x14ac:dyDescent="0.25">
      <c r="A3" s="11"/>
      <c r="B3" s="11" t="s">
        <v>52</v>
      </c>
      <c r="C3" s="11" t="s">
        <v>20</v>
      </c>
      <c r="D3" s="11" t="s">
        <v>21</v>
      </c>
      <c r="E3" s="11" t="s">
        <v>22</v>
      </c>
      <c r="F3" s="11" t="s">
        <v>23</v>
      </c>
      <c r="G3" s="11" t="s">
        <v>24</v>
      </c>
    </row>
    <row r="4" spans="1:7" x14ac:dyDescent="0.25">
      <c r="A4" s="3" t="s">
        <v>53</v>
      </c>
      <c r="B4" s="17">
        <f>-Assumptions!B6</f>
        <v>-30</v>
      </c>
      <c r="C4" s="17">
        <v>0</v>
      </c>
      <c r="D4" s="17">
        <v>0</v>
      </c>
      <c r="E4" s="17">
        <v>0</v>
      </c>
      <c r="F4" s="17">
        <v>0</v>
      </c>
      <c r="G4" s="18">
        <f>'Returns Analysis'!B11</f>
        <v>112</v>
      </c>
    </row>
    <row r="6" spans="1:7" x14ac:dyDescent="0.25">
      <c r="A6" s="3" t="s">
        <v>54</v>
      </c>
      <c r="B6" s="26">
        <f>IRR(B4:G4)</f>
        <v>0.30142562461038125</v>
      </c>
    </row>
    <row r="7" spans="1:7" x14ac:dyDescent="0.25">
      <c r="A7" s="3" t="s">
        <v>55</v>
      </c>
      <c r="B7" s="25">
        <f>G4/-B4</f>
        <v>3.7333333333333334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Assumptions</vt:lpstr>
      <vt:lpstr>Debt Schedule</vt:lpstr>
      <vt:lpstr>Returns Analysis</vt:lpstr>
      <vt:lpstr>IRR Cash Flows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Ryan Ahmed</cp:lastModifiedBy>
  <cp:revision>0</cp:revision>
  <dcterms:created xsi:type="dcterms:W3CDTF">2026-02-17T04:42:31Z</dcterms:created>
  <dcterms:modified xsi:type="dcterms:W3CDTF">2026-02-17T04:45:36Z</dcterms:modified>
  <dc:language>en-US</dc:language>
</cp:coreProperties>
</file>