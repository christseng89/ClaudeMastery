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10-Year Model" sheetId="2" state="visible" r:id="rId4"/>
    <sheet name="Amortization" sheetId="3" state="visible" r:id="rId5"/>
    <sheet name="Scenario Comparison" sheetId="4" state="visible" r:id="rId6"/>
    <sheet name="Sensitivity Analysis" sheetId="5" state="visible" r:id="rId7"/>
    <sheet name="Dashboard" sheetId="6" state="visible" r:id="rId8"/>
    <sheet name="Charts" sheetId="7" state="visible" r:id="rId9"/>
    <sheet name="Executive Verdict"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<sst xmlns="http://schemas.openxmlformats.org/spreadsheetml/2006/main" count="235" uniqueCount="204">
  <si>
    <t xml:space="preserve">Toronto Condo Investment — 10-Year Financial Model</t>
  </si>
  <si>
    <t xml:space="preserve">All blue values are adjustable assumptions</t>
  </si>
  <si>
    <t xml:space="preserve">PURCHASE ASSUMPTIONS</t>
  </si>
  <si>
    <t xml:space="preserve">RESEARCH-BASED APPRECIATION JUSTIFICATION</t>
  </si>
  <si>
    <t xml:space="preserve">Purchase Price</t>
  </si>
  <si>
    <t xml:space="preserve">Historical 25-Year CAGR (1996–2021)</t>
  </si>
  <si>
    <t xml:space="preserve">7.1%</t>
  </si>
  <si>
    <t xml:space="preserve">Down Payment (%)</t>
  </si>
  <si>
    <t xml:space="preserve">TRREB Q4 2025 GTA Avg Condo Price</t>
  </si>
  <si>
    <t xml:space="preserve">$652,945 (▼5.1% YoY)</t>
  </si>
  <si>
    <t xml:space="preserve">Down Payment ($)</t>
  </si>
  <si>
    <t xml:space="preserve">TRREB Q4 2025 City of Toronto Avg</t>
  </si>
  <si>
    <t xml:space="preserve">$690,607 (▼3.5% YoY)</t>
  </si>
  <si>
    <t xml:space="preserve">Mortgage Amount (LTV)</t>
  </si>
  <si>
    <t xml:space="preserve">CMHC 2026 Forecast (GTA condos)</t>
  </si>
  <si>
    <t xml:space="preserve">▼4.5% YoY in Q4 2026</t>
  </si>
  <si>
    <t xml:space="preserve">Closing Costs (% of Purchase)</t>
  </si>
  <si>
    <t xml:space="preserve">TD Economics 2025 GTA Condo Forecast</t>
  </si>
  <si>
    <t xml:space="preserve">▼10% from peak</t>
  </si>
  <si>
    <t xml:space="preserve">Closing Costs ($)</t>
  </si>
  <si>
    <t xml:space="preserve">RBC 2026 National Forecast</t>
  </si>
  <si>
    <t xml:space="preserve">▼0.7% overall</t>
  </si>
  <si>
    <t xml:space="preserve">Total Cash Invested at Close</t>
  </si>
  <si>
    <t xml:space="preserve">BMO Through 2027 Outlook</t>
  </si>
  <si>
    <t xml:space="preserve">~3% annual price growth</t>
  </si>
  <si>
    <t xml:space="preserve">BoC Policy Rate (Jan 2026)</t>
  </si>
  <si>
    <t xml:space="preserve">2.25% — expected stable</t>
  </si>
  <si>
    <t xml:space="preserve">MORTGAGE ASSUMPTIONS</t>
  </si>
  <si>
    <t xml:space="preserve">GTA Condo Vacancy Rate (Q2 2025)</t>
  </si>
  <si>
    <t xml:space="preserve">3.2% City / 4.0% 905</t>
  </si>
  <si>
    <t xml:space="preserve">Annual Interest Rate</t>
  </si>
  <si>
    <t xml:space="preserve">Avg Rent YoY Change (Q4 2025)</t>
  </si>
  <si>
    <t xml:space="preserve">▼6.0%</t>
  </si>
  <si>
    <t xml:space="preserve">Amortization Period (Years)</t>
  </si>
  <si>
    <t xml:space="preserve">New Condo Completions 2025</t>
  </si>
  <si>
    <t xml:space="preserve">31,422 (record high)</t>
  </si>
  <si>
    <t xml:space="preserve">Monthly Interest Rate</t>
  </si>
  <si>
    <t xml:space="preserve">Condo Starts 2025 (annualized)</t>
  </si>
  <si>
    <t xml:space="preserve">Lowest since 1998</t>
  </si>
  <si>
    <t xml:space="preserve">Total Payments</t>
  </si>
  <si>
    <t xml:space="preserve">Monthly Mortgage Payment</t>
  </si>
  <si>
    <t xml:space="preserve">BASE CASE: 2.5% CAGR</t>
  </si>
  <si>
    <t xml:space="preserve">Recovery from trough; supply constraints emerge 2028+</t>
  </si>
  <si>
    <t xml:space="preserve">Annual Mortgage Payment</t>
  </si>
  <si>
    <t xml:space="preserve">BULL CASE: 4.0% CAGR</t>
  </si>
  <si>
    <t xml:space="preserve">Faster absorption; immigration reversal; rate cuts</t>
  </si>
  <si>
    <t xml:space="preserve">BEAR CASE: 0.5% CAGR</t>
  </si>
  <si>
    <t xml:space="preserve">Prolonged stagnation; investor exit; recession risk</t>
  </si>
  <si>
    <t xml:space="preserve">RENTAL ASSUMPTIONS</t>
  </si>
  <si>
    <t xml:space="preserve">Monthly Rent (Year 1)</t>
  </si>
  <si>
    <t xml:space="preserve">KEY SOURCES</t>
  </si>
  <si>
    <t xml:space="preserve">Annual Rent Escalation</t>
  </si>
  <si>
    <t xml:space="preserve">TRREB Q4 2025 Condo Market Report</t>
  </si>
  <si>
    <t xml:space="preserve">Vacancy Rate</t>
  </si>
  <si>
    <t xml:space="preserve">CMHC Housing Market Outlook 2026</t>
  </si>
  <si>
    <t xml:space="preserve">Operating Expenses (% of EGI)</t>
  </si>
  <si>
    <t xml:space="preserve">TD Economics — GTA Condo Market Outlook</t>
  </si>
  <si>
    <t xml:space="preserve">RBC Economics — Housing Market Forecast</t>
  </si>
  <si>
    <t xml:space="preserve">APPRECIATION ASSUMPTIONS</t>
  </si>
  <si>
    <t xml:space="preserve">BMO Economics — Housing Outlook</t>
  </si>
  <si>
    <t xml:space="preserve">Base Case — Annual Appreciation</t>
  </si>
  <si>
    <t xml:space="preserve">CIBC Capital Markets — Housing Analysis</t>
  </si>
  <si>
    <t xml:space="preserve">Bull Case — Annual Appreciation</t>
  </si>
  <si>
    <t xml:space="preserve">CBRE Toronto Real Estate Outlook 2025</t>
  </si>
  <si>
    <t xml:space="preserve">Bear Case — Annual Appreciation</t>
  </si>
  <si>
    <t xml:space="preserve">Urbanation — Completed Condo Inventory Data</t>
  </si>
  <si>
    <t xml:space="preserve">Bank of Canada — Policy Rate Decisions</t>
  </si>
  <si>
    <t xml:space="preserve">DISPOSITION ASSUMPTIONS</t>
  </si>
  <si>
    <t xml:space="preserve">Statistics Canada — Immigration &amp; Housing</t>
  </si>
  <si>
    <t xml:space="preserve">Holding Period (Years)</t>
  </si>
  <si>
    <t xml:space="preserve">Disposition Costs (% of Sale Price)</t>
  </si>
  <si>
    <t xml:space="preserve">10-Year Pro Forma — Base Case Analysis</t>
  </si>
  <si>
    <t xml:space="preserve">Year 0</t>
  </si>
  <si>
    <t xml:space="preserve">Year 1</t>
  </si>
  <si>
    <t xml:space="preserve">Year 2</t>
  </si>
  <si>
    <t xml:space="preserve">Year 3</t>
  </si>
  <si>
    <t xml:space="preserve">Year 4</t>
  </si>
  <si>
    <t xml:space="preserve">Year 5</t>
  </si>
  <si>
    <t xml:space="preserve">Year 6</t>
  </si>
  <si>
    <t xml:space="preserve">Year 7</t>
  </si>
  <si>
    <t xml:space="preserve">Year 8</t>
  </si>
  <si>
    <t xml:space="preserve">Year 9</t>
  </si>
  <si>
    <t xml:space="preserve">Year 10</t>
  </si>
  <si>
    <t xml:space="preserve">PROPERTY VALUE</t>
  </si>
  <si>
    <t xml:space="preserve">Appreciation Rate</t>
  </si>
  <si>
    <t xml:space="preserve">Property Value (BOY)</t>
  </si>
  <si>
    <t xml:space="preserve">RENTAL INCOME</t>
  </si>
  <si>
    <t xml:space="preserve">Monthly Rent</t>
  </si>
  <si>
    <t xml:space="preserve">Gross Rental Income (Annual)</t>
  </si>
  <si>
    <t xml:space="preserve">Less: Vacancy Loss</t>
  </si>
  <si>
    <t xml:space="preserve">Effective Gross Income (EGI)</t>
  </si>
  <si>
    <t xml:space="preserve">OPERATING EXPENSES</t>
  </si>
  <si>
    <t xml:space="preserve">Operating Expenses (25% of EGI)</t>
  </si>
  <si>
    <t xml:space="preserve">Net Operating Income (NOI)</t>
  </si>
  <si>
    <t xml:space="preserve">DEBT SERVICE</t>
  </si>
  <si>
    <t xml:space="preserve">Interest Portion</t>
  </si>
  <si>
    <t xml:space="preserve">Principal Portion</t>
  </si>
  <si>
    <t xml:space="preserve">ANNUAL CASH FLOW</t>
  </si>
  <si>
    <t xml:space="preserve">Pre-Tax Cash Flow</t>
  </si>
  <si>
    <t xml:space="preserve">Cumulative Cash Flow</t>
  </si>
  <si>
    <t xml:space="preserve">EQUITY BUILDUP</t>
  </si>
  <si>
    <t xml:space="preserve">Mortgage Balance Outstanding</t>
  </si>
  <si>
    <t xml:space="preserve">Equity from Principal Paydown</t>
  </si>
  <si>
    <t xml:space="preserve">Appreciation Gain (Cumulative)</t>
  </si>
  <si>
    <t xml:space="preserve">Total Equity</t>
  </si>
  <si>
    <t xml:space="preserve">DISPOSITION ANALYSIS (YEAR 10)</t>
  </si>
  <si>
    <t xml:space="preserve">Sale Price (Year 10 Value)</t>
  </si>
  <si>
    <t xml:space="preserve">Less: Disposition Costs</t>
  </si>
  <si>
    <t xml:space="preserve">Less: Mortgage Payoff</t>
  </si>
  <si>
    <t xml:space="preserve">Net Sale Proceeds</t>
  </si>
  <si>
    <t xml:space="preserve">RETURN METRICS</t>
  </si>
  <si>
    <t xml:space="preserve">Cash Flow for IRR</t>
  </si>
  <si>
    <t xml:space="preserve">IRR (Leveraged)</t>
  </si>
  <si>
    <t xml:space="preserve">Total Profit</t>
  </si>
  <si>
    <t xml:space="preserve">Equity Multiple</t>
  </si>
  <si>
    <t xml:space="preserve">Cash-on-Cash Return (Year 1)</t>
  </si>
  <si>
    <t xml:space="preserve">Cap Rate (Year 1)</t>
  </si>
  <si>
    <t xml:space="preserve">Annual Mortgage Amortization Schedule</t>
  </si>
  <si>
    <t xml:space="preserve">Year</t>
  </si>
  <si>
    <t xml:space="preserve">Beg. Balance</t>
  </si>
  <si>
    <t xml:space="preserve">Annual Payment</t>
  </si>
  <si>
    <t xml:space="preserve">Interest</t>
  </si>
  <si>
    <t xml:space="preserve">Principal</t>
  </si>
  <si>
    <t xml:space="preserve">End Balance</t>
  </si>
  <si>
    <t xml:space="preserve">TOTAL</t>
  </si>
  <si>
    <t xml:space="preserve">Scenario Comparison — Base / Bull / Bear</t>
  </si>
  <si>
    <t xml:space="preserve">Metric</t>
  </si>
  <si>
    <t xml:space="preserve">Bear Case (0.5%)</t>
  </si>
  <si>
    <t xml:space="preserve">Base Case (2.5%)</t>
  </si>
  <si>
    <t xml:space="preserve">Bull Case (4.0%)</t>
  </si>
  <si>
    <t xml:space="preserve">Annual Appreciation Rate</t>
  </si>
  <si>
    <t xml:space="preserve">Year 10 Property Value</t>
  </si>
  <si>
    <t xml:space="preserve">Total Appreciation ($)</t>
  </si>
  <si>
    <t xml:space="preserve">Mortgage Balance (Year 10)</t>
  </si>
  <si>
    <t xml:space="preserve">Net Equity at Disposition</t>
  </si>
  <si>
    <t xml:space="preserve">Disposition Costs</t>
  </si>
  <si>
    <t xml:space="preserve">Cumulative Cash Flow (Ops)</t>
  </si>
  <si>
    <t xml:space="preserve">Sensitivity Analysis — IRR Under Varying Assumptions</t>
  </si>
  <si>
    <t xml:space="preserve">Total Equity at Year 10: Interest Rate (rows) vs. Annual Appreciation (columns)</t>
  </si>
  <si>
    <t xml:space="preserve">Interest Rate ▼ / Appr ▶</t>
  </si>
  <si>
    <t xml:space="preserve">-0.5%</t>
  </si>
  <si>
    <t xml:space="preserve">0.0%</t>
  </si>
  <si>
    <t xml:space="preserve">0.5%</t>
  </si>
  <si>
    <t xml:space="preserve">1.0%</t>
  </si>
  <si>
    <t xml:space="preserve">2.0%</t>
  </si>
  <si>
    <t xml:space="preserve">3.0%</t>
  </si>
  <si>
    <t xml:space="preserve">4.0%</t>
  </si>
  <si>
    <t xml:space="preserve">5.0%</t>
  </si>
  <si>
    <t xml:space="preserve">Year 1 Annual Cash Flow: Interest Rate (rows) vs. Annual Appreciation (columns)</t>
  </si>
  <si>
    <t xml:space="preserve">Net Sale Proceeds at Year 10: Interest Rate (rows) vs. Annual Appreciation (columns)</t>
  </si>
  <si>
    <t xml:space="preserve">Executive Dashboard — Toronto Condo Investment</t>
  </si>
  <si>
    <t xml:space="preserve">KEY INVESTMENT METRICS</t>
  </si>
  <si>
    <t xml:space="preserve">RISK INDICATORS</t>
  </si>
  <si>
    <t xml:space="preserve">Debt Service Coverage Ratio (Yr 1)</t>
  </si>
  <si>
    <t xml:space="preserve">Total Cash Invested</t>
  </si>
  <si>
    <t xml:space="preserve">Loan-to-Value Ratio</t>
  </si>
  <si>
    <t xml:space="preserve">Break-Even Occupancy</t>
  </si>
  <si>
    <t xml:space="preserve">Year 1 NOI</t>
  </si>
  <si>
    <t xml:space="preserve">Monthly Cash Shortfall (Yr 1)</t>
  </si>
  <si>
    <t xml:space="preserve">Year 1 Cash Flow</t>
  </si>
  <si>
    <t xml:space="preserve">Years to Positive Cash Flow</t>
  </si>
  <si>
    <t xml:space="preserve">See Model</t>
  </si>
  <si>
    <t xml:space="preserve">Year 1 Cash-on-Cash Return</t>
  </si>
  <si>
    <t xml:space="preserve">Vacancy Buffer Before Loss</t>
  </si>
  <si>
    <t xml:space="preserve">Year 1 Cap Rate</t>
  </si>
  <si>
    <t xml:space="preserve">Year 10 Property Value (Base)</t>
  </si>
  <si>
    <t xml:space="preserve">MARKET CONTEXT (Q4 2025)</t>
  </si>
  <si>
    <t xml:space="preserve">Year 10 Net Equity</t>
  </si>
  <si>
    <t xml:space="preserve">GTA Avg Condo Price (TRREB)</t>
  </si>
  <si>
    <t xml:space="preserve">$652,945</t>
  </si>
  <si>
    <t xml:space="preserve">City of Toronto Avg Price</t>
  </si>
  <si>
    <t xml:space="preserve">$690,607</t>
  </si>
  <si>
    <t xml:space="preserve">10-Year IRR (Leveraged)</t>
  </si>
  <si>
    <t xml:space="preserve">YoY Price Change (GTA)</t>
  </si>
  <si>
    <t xml:space="preserve">-5.1%</t>
  </si>
  <si>
    <t xml:space="preserve">Avg Rent (All Condos)</t>
  </si>
  <si>
    <t xml:space="preserve">$2,592/month</t>
  </si>
  <si>
    <t xml:space="preserve">Rent YoY Change</t>
  </si>
  <si>
    <t xml:space="preserve">-6.0%</t>
  </si>
  <si>
    <t xml:space="preserve">Avg Days on Market</t>
  </si>
  <si>
    <t xml:space="preserve">42 days</t>
  </si>
  <si>
    <t xml:space="preserve">Sale-to-List Price Ratio</t>
  </si>
  <si>
    <t xml:space="preserve">97%</t>
  </si>
  <si>
    <t xml:space="preserve">BoC Policy Rate</t>
  </si>
  <si>
    <t xml:space="preserve">2.25%</t>
  </si>
  <si>
    <t xml:space="preserve">Condo Completions 2025</t>
  </si>
  <si>
    <t xml:space="preserve">31,422 units (record)</t>
  </si>
  <si>
    <t xml:space="preserve">Condo Starts 2025</t>
  </si>
  <si>
    <t xml:space="preserve">Chart Data — Equity Growth &amp; Cash Flow Over Time</t>
  </si>
  <si>
    <t xml:space="preserve">Property Value</t>
  </si>
  <si>
    <t xml:space="preserve">Mortgage Balance</t>
  </si>
  <si>
    <t xml:space="preserve">Executive Investment Verdict</t>
  </si>
  <si>
    <t xml:space="preserve">INVESTMENT OVERVIEW</t>
  </si>
  <si>
    <t xml:space="preserve">This model evaluates a CAD $1,000,000 Toronto condo acquisition with 20% down ($200,000 equity + ~$25,000 closing costs) financed at 6% over 30 years. The property generates $4,000/month gross rent with 10% vacancy and 25% operating expense assumptions.</t>
  </si>
  <si>
    <t xml:space="preserve">MARKET ASSESSMENT</t>
  </si>
  <si>
    <t xml:space="preserve">The Toronto condo market is emerging from a significant correction (2023–2025) with GTA average condo prices down 5.1% YoY to $652,945 as of Q4 2025 (TRREB). Key dynamics include: record condo completions (31,422 units in 2025) creating near-term oversupply, construction starts at the lowest level since 1998 signaling a future supply cliff, rents declining 6.0% YoY, and investor demand down 95% from 2021 peak. The consensus among major institutions (RBC, TD, BMO, CMHC) is that 2025 represents the trough with modest stabilization in 2026–2027 and gradual recovery thereafter.</t>
  </si>
  <si>
    <t xml:space="preserve">SCENARIO ANALYSIS SUMMARY</t>
  </si>
  <si>
    <t xml:space="preserve">Base Case (2.5% CAGR): Reflects gradual recovery constrained by structural headwinds. Year 10 property value of ~$1,280,000. The investment generates negative annual cash flow throughout the hold period due to high debt service relative to rental income, but builds substantial equity through principal paydown and appreciation.</t>
  </si>
  <si>
    <t xml:space="preserve">Bull Case (4.0% CAGR): Assumes faster supply absorption, immigration policy reversal, and rate cuts. Year 10 property value of ~$1,480,000. Significantly higher equity returns.</t>
  </si>
  <si>
    <t xml:space="preserve">Bear Case (0.5% CAGR): Prolonged stagnation with investor exit and recession risk. Year 10 property value of ~$1,051,000. Minimal appreciation; returns driven primarily by principal paydown.</t>
  </si>
  <si>
    <t xml:space="preserve">KEY RISKS</t>
  </si>
  <si>
    <t xml:space="preserve">1) Negative cash flow: At 6% mortgage rate, annual debt service exceeds NOI, requiring ongoing capital infusion (~$2,000+/month shortfall). 2) Interest rate sensitivity: Each 50bps increase in mortgage rate reduces cash flow by ~$2,500/year. 3) Oversupply risk: 31,000+ units completing in 2025 may prolong price weakness beyond base case assumptions. 4) Rent stagnation: Declining rents (-6% YoY) and rising vacancy (3.2%–4.0%) limit income growth. 5) Investor sentiment: With 95% decline in pre-construction sales, market recovery depends on restoring investor confidence.</t>
  </si>
  <si>
    <t xml:space="preserve">VERDICT</t>
  </si>
  <si>
    <t xml:space="preserve">CONDITIONAL HOLD — NOT RECOMMENDED FOR CASH-FLOW-FOCUSED INVESTORS. The investment is viable only for investors with: (a) sufficient liquidity to fund negative cash flow over 10 years (~$200K+ cumulative shortfall), (b) conviction in long-term Toronto appreciation driven by the emerging supply cliff, and (c) tolerance for 3–5 years of flat or declining property values before recovery materializes. For investors seeking positive cash flow or defensive positioning, this investment does not meet hurdle rates at current pricing and interest rates. The base case IRR is modest relative to the risk assumed, and the bear case represents real capital loss. Consider re-evaluating if: mortgage rates fall below 4.5%, purchase price achieves further 10–15% discount, or rents recover to support positive cash flow.</t>
  </si>
</sst>
</file>

<file path=xl/styles.xml><?xml version="1.0" encoding="utf-8"?>
<styleSheet xmlns="http://schemas.openxmlformats.org/spreadsheetml/2006/main">
  <numFmts count="8">
    <numFmt numFmtId="164" formatCode="General"/>
    <numFmt numFmtId="165" formatCode="\$#,##0"/>
    <numFmt numFmtId="166" formatCode="0.0%"/>
    <numFmt numFmtId="167" formatCode="0.00%"/>
    <numFmt numFmtId="168" formatCode="0"/>
    <numFmt numFmtId="169" formatCode="0.0000%"/>
    <numFmt numFmtId="170" formatCode="\$#,##0;&quot;($&quot;#,##0\);\-"/>
    <numFmt numFmtId="171" formatCode="0.00\x"/>
  </numFmts>
  <fonts count="17">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i val="true"/>
      <sz val="10"/>
      <color rgb="FF666666"/>
      <name val="Arial"/>
      <family val="0"/>
      <charset val="1"/>
    </font>
    <font>
      <b val="true"/>
      <sz val="11"/>
      <color rgb="FFFFFFFF"/>
      <name val="Arial"/>
      <family val="0"/>
      <charset val="1"/>
    </font>
    <font>
      <b val="true"/>
      <sz val="10"/>
      <color rgb="FF000000"/>
      <name val="Arial"/>
      <family val="0"/>
      <charset val="1"/>
    </font>
    <font>
      <b val="true"/>
      <sz val="10"/>
      <color rgb="FF0000FF"/>
      <name val="Arial"/>
      <family val="0"/>
      <charset val="1"/>
    </font>
    <font>
      <sz val="10"/>
      <color rgb="FF000000"/>
      <name val="Arial"/>
      <family val="0"/>
      <charset val="1"/>
    </font>
    <font>
      <sz val="9"/>
      <color rgb="FF333333"/>
      <name val="Arial"/>
      <family val="0"/>
      <charset val="1"/>
    </font>
    <font>
      <b val="true"/>
      <sz val="11"/>
      <color rgb="FF1F4E79"/>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
      <sz val="10"/>
      <color rgb="FF333333"/>
      <name val="Arial"/>
      <family val="0"/>
      <charset val="1"/>
    </font>
  </fonts>
  <fills count="14">
    <fill>
      <patternFill patternType="none"/>
    </fill>
    <fill>
      <patternFill patternType="gray125"/>
    </fill>
    <fill>
      <patternFill patternType="solid">
        <fgColor rgb="FF1F4E79"/>
        <bgColor rgb="FF333333"/>
      </patternFill>
    </fill>
    <fill>
      <patternFill patternType="solid">
        <fgColor rgb="FFD6E4F0"/>
        <bgColor rgb="FFD9D9D9"/>
      </patternFill>
    </fill>
    <fill>
      <patternFill patternType="solid">
        <fgColor rgb="FFFFFF00"/>
        <bgColor rgb="FFFFFF00"/>
      </patternFill>
    </fill>
    <fill>
      <patternFill patternType="solid">
        <fgColor rgb="FFF2F2F2"/>
        <bgColor rgb="FFE2EFDA"/>
      </patternFill>
    </fill>
    <fill>
      <patternFill patternType="solid">
        <fgColor rgb="FFFFF9C4"/>
        <bgColor rgb="FFFFFF99"/>
      </patternFill>
    </fill>
    <fill>
      <patternFill patternType="solid">
        <fgColor rgb="FFE2EFDA"/>
        <bgColor rgb="FFF2F2F2"/>
      </patternFill>
    </fill>
    <fill>
      <patternFill patternType="solid">
        <fgColor rgb="FFFCE4EC"/>
        <bgColor rgb="FFF2F2F2"/>
      </patternFill>
    </fill>
    <fill>
      <patternFill patternType="solid">
        <fgColor rgb="FFD9D9D9"/>
        <bgColor rgb="FFD6E4F0"/>
      </patternFill>
    </fill>
    <fill>
      <patternFill patternType="solid">
        <fgColor rgb="FFC0504D"/>
        <bgColor rgb="FFBE4B48"/>
      </patternFill>
    </fill>
    <fill>
      <patternFill patternType="solid">
        <fgColor rgb="FF4F81BD"/>
        <bgColor rgb="FF4A7EBB"/>
      </patternFill>
    </fill>
    <fill>
      <patternFill patternType="solid">
        <fgColor rgb="FF9BBB59"/>
        <bgColor rgb="FFC0C0C0"/>
      </patternFill>
    </fill>
    <fill>
      <patternFill patternType="solid">
        <fgColor rgb="FF548235"/>
        <bgColor rgb="FF6666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left" vertical="center" textRotation="0" wrapText="true" indent="0" shrinkToFit="false"/>
      <protection locked="true" hidden="false"/>
    </xf>
    <xf numFmtId="165" fontId="8" fillId="4" borderId="0" xfId="0" applyFont="true" applyBorder="false" applyAlignment="true" applyProtection="false">
      <alignment horizontal="right" vertical="center" textRotation="0" wrapText="false" indent="0" shrinkToFit="false"/>
      <protection locked="true" hidden="false"/>
    </xf>
    <xf numFmtId="164" fontId="9" fillId="5" borderId="0" xfId="0" applyFont="true" applyBorder="false" applyAlignment="true" applyProtection="false">
      <alignment horizontal="left" vertical="center" textRotation="0" wrapText="true" indent="0" shrinkToFit="false"/>
      <protection locked="true" hidden="false"/>
    </xf>
    <xf numFmtId="166" fontId="8" fillId="4"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5" fontId="7" fillId="0" borderId="0" xfId="0" applyFont="true" applyBorder="false" applyAlignment="true" applyProtection="false">
      <alignment horizontal="right" vertical="center" textRotation="0" wrapText="false" indent="0" shrinkToFit="false"/>
      <protection locked="true" hidden="false"/>
    </xf>
    <xf numFmtId="167" fontId="8" fillId="4" borderId="0" xfId="0" applyFont="true" applyBorder="false" applyAlignment="true" applyProtection="false">
      <alignment horizontal="right" vertical="center" textRotation="0" wrapText="false" indent="0" shrinkToFit="false"/>
      <protection locked="true" hidden="false"/>
    </xf>
    <xf numFmtId="168" fontId="8" fillId="4" borderId="0" xfId="0" applyFont="true" applyBorder="false" applyAlignment="true" applyProtection="false">
      <alignment horizontal="right" vertical="center" textRotation="0" wrapText="false" indent="0" shrinkToFit="false"/>
      <protection locked="true" hidden="false"/>
    </xf>
    <xf numFmtId="169" fontId="9" fillId="0" borderId="0" xfId="0" applyFont="true" applyBorder="false" applyAlignment="true" applyProtection="false">
      <alignment horizontal="right" vertical="center" textRotation="0" wrapText="false" indent="0" shrinkToFit="false"/>
      <protection locked="true" hidden="false"/>
    </xf>
    <xf numFmtId="168" fontId="9" fillId="0" borderId="0" xfId="0" applyFont="true" applyBorder="false" applyAlignment="true" applyProtection="false">
      <alignment horizontal="right" vertical="center" textRotation="0" wrapText="false" indent="0" shrinkToFit="false"/>
      <protection locked="true" hidden="false"/>
    </xf>
    <xf numFmtId="164" fontId="7" fillId="6" borderId="0" xfId="0" applyFont="true" applyBorder="false" applyAlignment="true" applyProtection="false">
      <alignment horizontal="left" vertical="center" textRotation="0" wrapText="true" indent="0" shrinkToFit="false"/>
      <protection locked="true" hidden="false"/>
    </xf>
    <xf numFmtId="164" fontId="9" fillId="6" borderId="0" xfId="0" applyFont="true" applyBorder="false" applyAlignment="true" applyProtection="false">
      <alignment horizontal="left" vertical="center" textRotation="0" wrapText="true" indent="0" shrinkToFit="false"/>
      <protection locked="true" hidden="false"/>
    </xf>
    <xf numFmtId="164" fontId="7" fillId="7" borderId="0" xfId="0" applyFont="true" applyBorder="false" applyAlignment="true" applyProtection="false">
      <alignment horizontal="left" vertical="center" textRotation="0" wrapText="true" indent="0" shrinkToFit="false"/>
      <protection locked="true" hidden="false"/>
    </xf>
    <xf numFmtId="164" fontId="9" fillId="7" borderId="0" xfId="0" applyFont="true" applyBorder="false" applyAlignment="true" applyProtection="false">
      <alignment horizontal="left" vertical="center" textRotation="0" wrapText="true" indent="0" shrinkToFit="false"/>
      <protection locked="true" hidden="false"/>
    </xf>
    <xf numFmtId="164" fontId="7" fillId="8" borderId="0" xfId="0" applyFont="true" applyBorder="false" applyAlignment="true" applyProtection="false">
      <alignment horizontal="left" vertical="center" textRotation="0" wrapText="true" indent="0" shrinkToFit="false"/>
      <protection locked="true" hidden="false"/>
    </xf>
    <xf numFmtId="164" fontId="9" fillId="8" borderId="0" xfId="0" applyFont="true" applyBorder="fals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11" fillId="3" borderId="0" xfId="0" applyFont="true" applyBorder="false" applyAlignment="true" applyProtection="false">
      <alignment horizontal="left"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right" vertical="center" textRotation="0" wrapText="false" indent="0" shrinkToFit="false"/>
      <protection locked="true" hidden="false"/>
    </xf>
    <xf numFmtId="166" fontId="12" fillId="0" borderId="0" xfId="0" applyFont="true" applyBorder="false" applyAlignment="true" applyProtection="false">
      <alignment horizontal="righ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5" fontId="12" fillId="0" borderId="0" xfId="0" applyFont="true" applyBorder="false" applyAlignment="true" applyProtection="false">
      <alignment horizontal="right" vertical="center" textRotation="0" wrapText="false" indent="0" shrinkToFit="false"/>
      <protection locked="true" hidden="false"/>
    </xf>
    <xf numFmtId="170" fontId="9" fillId="0" borderId="0" xfId="0" applyFont="true" applyBorder="false" applyAlignment="true" applyProtection="false">
      <alignment horizontal="right" vertical="center" textRotation="0" wrapText="false" indent="0" shrinkToFit="false"/>
      <protection locked="true" hidden="false"/>
    </xf>
    <xf numFmtId="164" fontId="7" fillId="0" borderId="0" xfId="0" applyFont="true" applyBorder="false" applyAlignment="true" applyProtection="false">
      <alignment horizontal="right" vertical="center" textRotation="0" wrapText="false" indent="0" shrinkToFit="false"/>
      <protection locked="true" hidden="false"/>
    </xf>
    <xf numFmtId="170" fontId="12" fillId="0" borderId="0" xfId="0" applyFont="true" applyBorder="false" applyAlignment="true" applyProtection="false">
      <alignment horizontal="right" vertical="center" textRotation="0" wrapText="false" indent="0" shrinkToFit="false"/>
      <protection locked="true" hidden="false"/>
    </xf>
    <xf numFmtId="170" fontId="7" fillId="0" borderId="0" xfId="0" applyFont="true" applyBorder="false" applyAlignment="true" applyProtection="false">
      <alignment horizontal="right" vertical="center" textRotation="0" wrapText="false" indent="0" shrinkToFit="false"/>
      <protection locked="true" hidden="false"/>
    </xf>
    <xf numFmtId="167" fontId="7" fillId="7" borderId="0" xfId="0" applyFont="true" applyBorder="false" applyAlignment="true" applyProtection="false">
      <alignment horizontal="right" vertical="center" textRotation="0" wrapText="false" indent="0" shrinkToFit="false"/>
      <protection locked="true" hidden="false"/>
    </xf>
    <xf numFmtId="171" fontId="7" fillId="0" borderId="0" xfId="0" applyFont="true" applyBorder="false" applyAlignment="true" applyProtection="false">
      <alignment horizontal="right" vertical="center" textRotation="0" wrapText="fals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8" fontId="9" fillId="0" borderId="0" xfId="0" applyFont="true" applyBorder="false" applyAlignment="true" applyProtection="false">
      <alignment horizontal="center" vertical="center" textRotation="0" wrapText="true" indent="0" shrinkToFit="false"/>
      <protection locked="true" hidden="false"/>
    </xf>
    <xf numFmtId="168" fontId="9" fillId="5" borderId="0" xfId="0" applyFont="true" applyBorder="false" applyAlignment="true" applyProtection="false">
      <alignment horizontal="center" vertical="center" textRotation="0" wrapText="true" indent="0" shrinkToFit="false"/>
      <protection locked="true" hidden="false"/>
    </xf>
    <xf numFmtId="165" fontId="9" fillId="5" borderId="0" xfId="0" applyFont="true" applyBorder="false" applyAlignment="true" applyProtection="false">
      <alignment horizontal="right" vertical="center" textRotation="0" wrapText="false" indent="0" shrinkToFit="false"/>
      <protection locked="true" hidden="false"/>
    </xf>
    <xf numFmtId="165" fontId="12" fillId="5" borderId="0" xfId="0" applyFont="true" applyBorder="false" applyAlignment="true" applyProtection="false">
      <alignment horizontal="right" vertical="center" textRotation="0" wrapText="false" indent="0" shrinkToFit="false"/>
      <protection locked="true" hidden="false"/>
    </xf>
    <xf numFmtId="164" fontId="7" fillId="9" borderId="0" xfId="0" applyFont="true" applyBorder="false" applyAlignment="true" applyProtection="false">
      <alignment horizontal="center" vertical="center" textRotation="0" wrapText="true" indent="0" shrinkToFit="false"/>
      <protection locked="true" hidden="false"/>
    </xf>
    <xf numFmtId="164" fontId="7" fillId="9" borderId="0" xfId="0" applyFont="true" applyBorder="false" applyAlignment="false" applyProtection="false">
      <alignment horizontal="general" vertical="bottom" textRotation="0" wrapText="false" indent="0" shrinkToFit="false"/>
      <protection locked="true" hidden="false"/>
    </xf>
    <xf numFmtId="165" fontId="7" fillId="9" borderId="0" xfId="0" applyFont="true" applyBorder="false" applyAlignment="true" applyProtection="false">
      <alignment horizontal="right" vertical="center" textRotation="0" wrapText="false" indent="0" shrinkToFit="false"/>
      <protection locked="true" hidden="false"/>
    </xf>
    <xf numFmtId="164" fontId="6" fillId="10" borderId="0" xfId="0" applyFont="true" applyBorder="false" applyAlignment="true" applyProtection="false">
      <alignment horizontal="center" vertical="center" textRotation="0" wrapText="true" indent="0" shrinkToFit="false"/>
      <protection locked="true" hidden="false"/>
    </xf>
    <xf numFmtId="164" fontId="6" fillId="11" borderId="0" xfId="0" applyFont="true" applyBorder="false" applyAlignment="true" applyProtection="false">
      <alignment horizontal="center" vertical="center" textRotation="0" wrapText="true" indent="0" shrinkToFit="false"/>
      <protection locked="true" hidden="false"/>
    </xf>
    <xf numFmtId="164" fontId="6" fillId="12" borderId="0" xfId="0" applyFont="true" applyBorder="fals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left" vertical="center" textRotation="0" wrapText="true" indent="0" shrinkToFit="false"/>
      <protection locked="true" hidden="false"/>
    </xf>
    <xf numFmtId="166" fontId="9" fillId="8" borderId="0" xfId="0" applyFont="true" applyBorder="false" applyAlignment="true" applyProtection="false">
      <alignment horizontal="right" vertical="center" textRotation="0" wrapText="false" indent="0" shrinkToFit="false"/>
      <protection locked="true" hidden="false"/>
    </xf>
    <xf numFmtId="166" fontId="9" fillId="3" borderId="0" xfId="0" applyFont="true" applyBorder="false" applyAlignment="true" applyProtection="false">
      <alignment horizontal="right" vertical="center" textRotation="0" wrapText="false" indent="0" shrinkToFit="false"/>
      <protection locked="true" hidden="false"/>
    </xf>
    <xf numFmtId="166" fontId="9" fillId="7" borderId="0" xfId="0" applyFont="true" applyBorder="false" applyAlignment="true" applyProtection="false">
      <alignment horizontal="right" vertical="center" textRotation="0" wrapText="false" indent="0" shrinkToFit="false"/>
      <protection locked="true" hidden="false"/>
    </xf>
    <xf numFmtId="165" fontId="9" fillId="8" borderId="0" xfId="0" applyFont="true" applyBorder="false" applyAlignment="true" applyProtection="false">
      <alignment horizontal="right" vertical="center" textRotation="0" wrapText="false" indent="0" shrinkToFit="false"/>
      <protection locked="true" hidden="false"/>
    </xf>
    <xf numFmtId="165" fontId="9" fillId="3" borderId="0" xfId="0" applyFont="true" applyBorder="false" applyAlignment="true" applyProtection="false">
      <alignment horizontal="right" vertical="center" textRotation="0" wrapText="false" indent="0" shrinkToFit="false"/>
      <protection locked="true" hidden="false"/>
    </xf>
    <xf numFmtId="165" fontId="9" fillId="7" borderId="0" xfId="0" applyFont="true" applyBorder="false" applyAlignment="true" applyProtection="false">
      <alignment horizontal="right" vertical="center" textRotation="0" wrapText="false" indent="0" shrinkToFit="false"/>
      <protection locked="true" hidden="false"/>
    </xf>
    <xf numFmtId="170" fontId="9" fillId="8" borderId="0" xfId="0" applyFont="true" applyBorder="false" applyAlignment="true" applyProtection="false">
      <alignment horizontal="right" vertical="center" textRotation="0" wrapText="false" indent="0" shrinkToFit="false"/>
      <protection locked="true" hidden="false"/>
    </xf>
    <xf numFmtId="170" fontId="9" fillId="3" borderId="0" xfId="0" applyFont="true" applyBorder="false" applyAlignment="true" applyProtection="false">
      <alignment horizontal="right" vertical="center" textRotation="0" wrapText="false" indent="0" shrinkToFit="false"/>
      <protection locked="true" hidden="false"/>
    </xf>
    <xf numFmtId="170" fontId="9" fillId="7" borderId="0" xfId="0" applyFont="true" applyBorder="false" applyAlignment="true" applyProtection="false">
      <alignment horizontal="right" vertical="center" textRotation="0" wrapText="false" indent="0" shrinkToFit="false"/>
      <protection locked="true" hidden="false"/>
    </xf>
    <xf numFmtId="171" fontId="9" fillId="8" borderId="0" xfId="0" applyFont="true" applyBorder="false" applyAlignment="true" applyProtection="false">
      <alignment horizontal="right" vertical="center" textRotation="0" wrapText="false" indent="0" shrinkToFit="false"/>
      <protection locked="true" hidden="false"/>
    </xf>
    <xf numFmtId="171" fontId="9" fillId="3" borderId="0" xfId="0" applyFont="true" applyBorder="false" applyAlignment="true" applyProtection="false">
      <alignment horizontal="right" vertical="center" textRotation="0" wrapText="false" indent="0" shrinkToFit="false"/>
      <protection locked="true" hidden="false"/>
    </xf>
    <xf numFmtId="171" fontId="9" fillId="7" borderId="0" xfId="0" applyFont="true" applyBorder="false" applyAlignment="true" applyProtection="false">
      <alignment horizontal="right" vertical="center" textRotation="0" wrapText="false" indent="0" shrinkToFit="false"/>
      <protection locked="true" hidden="false"/>
    </xf>
    <xf numFmtId="164" fontId="11" fillId="3" borderId="0" xfId="0" applyFont="true" applyBorder="true" applyAlignment="false" applyProtection="false">
      <alignment horizontal="general" vertical="bottom" textRotation="0" wrapText="false" indent="0" shrinkToFit="false"/>
      <protection locked="true" hidden="false"/>
    </xf>
    <xf numFmtId="167" fontId="8" fillId="5" borderId="0" xfId="0" applyFont="true" applyBorder="false" applyAlignment="true" applyProtection="false">
      <alignment horizontal="center" vertical="center" textRotation="0" wrapText="true" indent="0" shrinkToFit="false"/>
      <protection locked="true" hidden="false"/>
    </xf>
    <xf numFmtId="165" fontId="9" fillId="4" borderId="0" xfId="0" applyFont="true" applyBorder="false" applyAlignment="true" applyProtection="false">
      <alignment horizontal="right" vertical="center" textRotation="0" wrapText="false" indent="0" shrinkToFit="false"/>
      <protection locked="true" hidden="false"/>
    </xf>
    <xf numFmtId="170" fontId="9" fillId="4" borderId="0" xfId="0" applyFont="true" applyBorder="false" applyAlignment="true" applyProtection="false">
      <alignment horizontal="right" vertical="center"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6" fillId="10" borderId="0" xfId="0" applyFont="true" applyBorder="true" applyAlignment="true" applyProtection="false">
      <alignment horizontal="center" vertical="center" textRotation="0" wrapText="true" indent="0" shrinkToFit="false"/>
      <protection locked="true" hidden="false"/>
    </xf>
    <xf numFmtId="171" fontId="12" fillId="8" borderId="0" xfId="0" applyFont="true" applyBorder="false" applyAlignment="true" applyProtection="false">
      <alignment horizontal="right" vertical="center" textRotation="0" wrapText="false" indent="0" shrinkToFit="false"/>
      <protection locked="true" hidden="false"/>
    </xf>
    <xf numFmtId="166" fontId="12" fillId="8" borderId="0" xfId="0" applyFont="true" applyBorder="false" applyAlignment="true" applyProtection="false">
      <alignment horizontal="right" vertical="center" textRotation="0" wrapText="false" indent="0" shrinkToFit="false"/>
      <protection locked="true" hidden="false"/>
    </xf>
    <xf numFmtId="170" fontId="12" fillId="8" borderId="0" xfId="0" applyFont="true" applyBorder="false" applyAlignment="true" applyProtection="false">
      <alignment horizontal="right" vertical="center" textRotation="0" wrapText="false" indent="0" shrinkToFit="false"/>
      <protection locked="true" hidden="false"/>
    </xf>
    <xf numFmtId="170" fontId="12" fillId="5" borderId="0" xfId="0" applyFont="true" applyBorder="false" applyAlignment="true" applyProtection="false">
      <alignment horizontal="right" vertical="center" textRotation="0" wrapText="false" indent="0" shrinkToFit="false"/>
      <protection locked="true" hidden="false"/>
    </xf>
    <xf numFmtId="164" fontId="9" fillId="8" borderId="0" xfId="0" applyFont="true" applyBorder="false" applyAlignment="true" applyProtection="false">
      <alignment horizontal="right" vertical="center" textRotation="0" wrapText="false" indent="0" shrinkToFit="false"/>
      <protection locked="true" hidden="false"/>
    </xf>
    <xf numFmtId="167" fontId="12" fillId="0" borderId="0" xfId="0" applyFont="true" applyBorder="false" applyAlignment="true" applyProtection="false">
      <alignment horizontal="right" vertical="center" textRotation="0" wrapText="false" indent="0" shrinkToFit="false"/>
      <protection locked="true" hidden="false"/>
    </xf>
    <xf numFmtId="167" fontId="12" fillId="5" borderId="0" xfId="0" applyFont="true" applyBorder="false" applyAlignment="true" applyProtection="false">
      <alignment horizontal="right" vertical="center" textRotation="0" wrapText="false" indent="0" shrinkToFit="false"/>
      <protection locked="true" hidden="false"/>
    </xf>
    <xf numFmtId="164" fontId="6" fillId="13" borderId="0" xfId="0" applyFont="true" applyBorder="true" applyAlignment="true" applyProtection="false">
      <alignment horizontal="center" vertical="center" textRotation="0" wrapText="true" indent="0" shrinkToFit="false"/>
      <protection locked="true" hidden="false"/>
    </xf>
    <xf numFmtId="164" fontId="7" fillId="7" borderId="0" xfId="0" applyFont="true" applyBorder="false" applyAlignment="true" applyProtection="false">
      <alignment horizontal="right" vertical="center" textRotation="0" wrapText="false" indent="0" shrinkToFit="false"/>
      <protection locked="true" hidden="false"/>
    </xf>
    <xf numFmtId="171" fontId="12" fillId="0" borderId="0" xfId="0" applyFont="true" applyBorder="fals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C0C0C0"/>
      <rgbColor rgb="FF878787"/>
      <rgbColor rgb="FF9999FF"/>
      <rgbColor rgb="FFBE4B48"/>
      <rgbColor rgb="FFFFF9C4"/>
      <rgbColor rgb="FFD6E4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EC"/>
      <rgbColor rgb="FF2E75B6"/>
      <rgbColor rgb="FF33CCCC"/>
      <rgbColor rgb="FF9BBB59"/>
      <rgbColor rgb="FFFFC000"/>
      <rgbColor rgb="FFBF8F00"/>
      <rgbColor rgb="FFFF6600"/>
      <rgbColor rgb="FF666666"/>
      <rgbColor rgb="FF4F81BD"/>
      <rgbColor rgb="FF002060"/>
      <rgbColor rgb="FF4A7EBB"/>
      <rgbColor rgb="FF003300"/>
      <rgbColor rgb="FF333300"/>
      <rgbColor rgb="FFC0504D"/>
      <rgbColor rgb="FF7030A0"/>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Equity Growth Over 10 Years</a:t>
            </a:r>
          </a:p>
        </c:rich>
      </c:tx>
      <c:overlay val="0"/>
      <c:spPr>
        <a:noFill/>
        <a:ln w="0">
          <a:noFill/>
        </a:ln>
      </c:spPr>
    </c:title>
    <c:autoTitleDeleted val="0"/>
    <c:plotArea>
      <c:lineChart>
        <c:grouping val="standard"/>
        <c:varyColors val="0"/>
        <c:ser>
          <c:idx val="0"/>
          <c:order val="0"/>
          <c:tx>
            <c:strRef>
              <c:f>Charts!C4</c:f>
              <c:strCache>
                <c:ptCount val="1"/>
                <c:pt idx="0">
                  <c:v>Total Equity</c:v>
                </c:pt>
              </c:strCache>
            </c:strRef>
          </c:tx>
          <c:spPr>
            <a:solidFill>
              <a:srgbClr val="4a7ebb"/>
            </a:solidFill>
            <a:ln w="248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4840">
                  <a:solidFill>
                    <a:srgbClr val="000000"/>
                  </a:solidFill>
                </a:ln>
              </c:spPr>
            </c:leaderLines>
            <c:extLst>
              <c:ext xmlns:c15="http://schemas.microsoft.com/office/drawing/2012/chart" uri="{CE6537A1-D6FC-4f65-9D91-7224C49458BB}">
                <c15:showLeaderLines val="1"/>
              </c:ext>
            </c:extLst>
          </c:dLbls>
          <c:cat>
            <c:strRef>
              <c:f>Charts!$B$5:$B$15</c:f>
              <c:strCache>
                <c:ptCount val="11"/>
                <c:pt idx="0">
                  <c:v>0</c:v>
                </c:pt>
                <c:pt idx="1">
                  <c:v>1</c:v>
                </c:pt>
                <c:pt idx="2">
                  <c:v>2</c:v>
                </c:pt>
                <c:pt idx="3">
                  <c:v>3</c:v>
                </c:pt>
                <c:pt idx="4">
                  <c:v>4</c:v>
                </c:pt>
                <c:pt idx="5">
                  <c:v>5</c:v>
                </c:pt>
                <c:pt idx="6">
                  <c:v>6</c:v>
                </c:pt>
                <c:pt idx="7">
                  <c:v>7</c:v>
                </c:pt>
                <c:pt idx="8">
                  <c:v>8</c:v>
                </c:pt>
                <c:pt idx="9">
                  <c:v>9</c:v>
                </c:pt>
                <c:pt idx="10">
                  <c:v>10</c:v>
                </c:pt>
              </c:strCache>
            </c:strRef>
          </c:cat>
          <c:val>
            <c:numRef>
              <c:f>Charts!$C$5:$C$15</c:f>
              <c:numCache>
                <c:formatCode>\$#,##0</c:formatCode>
                <c:ptCount val="11"/>
                <c:pt idx="0">
                  <c:v>200000</c:v>
                </c:pt>
                <c:pt idx="1">
                  <c:v>234824.093698214</c:v>
                </c:pt>
                <c:pt idx="2">
                  <c:v>270879.115999285</c:v>
                </c:pt>
                <c:pt idx="3">
                  <c:v>308218.064253584</c:v>
                </c:pt>
                <c:pt idx="4">
                  <c:v>346896.631481277</c:v>
                </c:pt>
                <c:pt idx="5">
                  <c:v>386973.358308068</c:v>
                </c:pt>
                <c:pt idx="6">
                  <c:v>428509.793913828</c:v>
                </c:pt>
                <c:pt idx="7">
                  <c:v>471570.666541043</c:v>
                </c:pt>
                <c:pt idx="8">
                  <c:v>516224.064143538</c:v>
                </c:pt>
                <c:pt idx="9">
                  <c:v>562541.625791494</c:v>
                </c:pt>
                <c:pt idx="10">
                  <c:v>610598.744486544</c:v>
                </c:pt>
              </c:numCache>
            </c:numRef>
          </c:val>
          <c:smooth val="1"/>
        </c:ser>
        <c:hiLowLines>
          <c:spPr>
            <a:ln w="0">
              <a:noFill/>
            </a:ln>
          </c:spPr>
        </c:hiLowLines>
        <c:marker val="0"/>
        <c:axId val="15443892"/>
        <c:axId val="47311047"/>
      </c:lineChart>
      <c:catAx>
        <c:axId val="15443892"/>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7311047"/>
        <c:crosses val="autoZero"/>
        <c:auto val="1"/>
        <c:lblAlgn val="ctr"/>
        <c:lblOffset val="100"/>
        <c:noMultiLvlLbl val="0"/>
      </c:catAx>
      <c:valAx>
        <c:axId val="47311047"/>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Amount (CAD)</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5443892"/>
        <c:crosses val="autoZero"/>
        <c:crossBetween val="between"/>
      </c:valAx>
      <c:spPr>
        <a:solidFill>
          <a:srgbClr val="ffffff"/>
        </a:solid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Property Value vs. Mortgage Balance</a:t>
            </a:r>
          </a:p>
        </c:rich>
      </c:tx>
      <c:overlay val="0"/>
      <c:spPr>
        <a:noFill/>
        <a:ln w="0">
          <a:noFill/>
        </a:ln>
      </c:spPr>
    </c:title>
    <c:autoTitleDeleted val="0"/>
    <c:plotArea>
      <c:lineChart>
        <c:grouping val="standard"/>
        <c:varyColors val="0"/>
        <c:ser>
          <c:idx val="0"/>
          <c:order val="0"/>
          <c:tx>
            <c:strRef>
              <c:f>Charts!E4</c:f>
              <c:strCache>
                <c:ptCount val="1"/>
                <c:pt idx="0">
                  <c:v>Property Value</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Charts!$B$5:$B$15</c:f>
              <c:strCache>
                <c:ptCount val="11"/>
                <c:pt idx="0">
                  <c:v>0</c:v>
                </c:pt>
                <c:pt idx="1">
                  <c:v>1</c:v>
                </c:pt>
                <c:pt idx="2">
                  <c:v>2</c:v>
                </c:pt>
                <c:pt idx="3">
                  <c:v>3</c:v>
                </c:pt>
                <c:pt idx="4">
                  <c:v>4</c:v>
                </c:pt>
                <c:pt idx="5">
                  <c:v>5</c:v>
                </c:pt>
                <c:pt idx="6">
                  <c:v>6</c:v>
                </c:pt>
                <c:pt idx="7">
                  <c:v>7</c:v>
                </c:pt>
                <c:pt idx="8">
                  <c:v>8</c:v>
                </c:pt>
                <c:pt idx="9">
                  <c:v>9</c:v>
                </c:pt>
                <c:pt idx="10">
                  <c:v>10</c:v>
                </c:pt>
              </c:strCache>
            </c:strRef>
          </c:cat>
          <c:val>
            <c:numRef>
              <c:f>Charts!$E$5:$E$15</c:f>
              <c:numCache>
                <c:formatCode>\$#,##0</c:formatCode>
                <c:ptCount val="11"/>
                <c:pt idx="0">
                  <c:v>1000000</c:v>
                </c:pt>
                <c:pt idx="1">
                  <c:v>1025000</c:v>
                </c:pt>
                <c:pt idx="2">
                  <c:v>1050625</c:v>
                </c:pt>
                <c:pt idx="3">
                  <c:v>1076890.625</c:v>
                </c:pt>
                <c:pt idx="4">
                  <c:v>1103812.890625</c:v>
                </c:pt>
                <c:pt idx="5">
                  <c:v>1131408.21289062</c:v>
                </c:pt>
                <c:pt idx="6">
                  <c:v>1159693.41821289</c:v>
                </c:pt>
                <c:pt idx="7">
                  <c:v>1188685.75366821</c:v>
                </c:pt>
                <c:pt idx="8">
                  <c:v>1218402.89750992</c:v>
                </c:pt>
                <c:pt idx="9">
                  <c:v>1248862.96994767</c:v>
                </c:pt>
                <c:pt idx="10">
                  <c:v>1280084.54419636</c:v>
                </c:pt>
              </c:numCache>
            </c:numRef>
          </c:val>
          <c:smooth val="1"/>
        </c:ser>
        <c:ser>
          <c:idx val="1"/>
          <c:order val="1"/>
          <c:tx>
            <c:strRef>
              <c:f>Charts!F4</c:f>
              <c:strCache>
                <c:ptCount val="1"/>
                <c:pt idx="0">
                  <c:v>Mortgage Balance</c:v>
                </c:pt>
              </c:strCache>
            </c:strRef>
          </c:tx>
          <c:spPr>
            <a:solidFill>
              <a:srgbClr val="be4b48"/>
            </a:solidFill>
            <a:ln w="28440">
              <a:solidFill>
                <a:srgbClr val="be4b48"/>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Charts!$B$5:$B$15</c:f>
              <c:strCache>
                <c:ptCount val="11"/>
                <c:pt idx="0">
                  <c:v>0</c:v>
                </c:pt>
                <c:pt idx="1">
                  <c:v>1</c:v>
                </c:pt>
                <c:pt idx="2">
                  <c:v>2</c:v>
                </c:pt>
                <c:pt idx="3">
                  <c:v>3</c:v>
                </c:pt>
                <c:pt idx="4">
                  <c:v>4</c:v>
                </c:pt>
                <c:pt idx="5">
                  <c:v>5</c:v>
                </c:pt>
                <c:pt idx="6">
                  <c:v>6</c:v>
                </c:pt>
                <c:pt idx="7">
                  <c:v>7</c:v>
                </c:pt>
                <c:pt idx="8">
                  <c:v>8</c:v>
                </c:pt>
                <c:pt idx="9">
                  <c:v>9</c:v>
                </c:pt>
                <c:pt idx="10">
                  <c:v>10</c:v>
                </c:pt>
              </c:strCache>
            </c:strRef>
          </c:cat>
          <c:val>
            <c:numRef>
              <c:f>Charts!$F$5:$F$15</c:f>
              <c:numCache>
                <c:formatCode>\$#,##0</c:formatCode>
                <c:ptCount val="11"/>
                <c:pt idx="0">
                  <c:v>800000</c:v>
                </c:pt>
                <c:pt idx="1">
                  <c:v>790175.906301786</c:v>
                </c:pt>
                <c:pt idx="2">
                  <c:v>779745.884000715</c:v>
                </c:pt>
                <c:pt idx="3">
                  <c:v>768672.560746415</c:v>
                </c:pt>
                <c:pt idx="4">
                  <c:v>756916.259143723</c:v>
                </c:pt>
                <c:pt idx="5">
                  <c:v>744434.854582557</c:v>
                </c:pt>
                <c:pt idx="6">
                  <c:v>731183.624299062</c:v>
                </c:pt>
                <c:pt idx="7">
                  <c:v>717115.087127169</c:v>
                </c:pt>
                <c:pt idx="8">
                  <c:v>702178.83336638</c:v>
                </c:pt>
                <c:pt idx="9">
                  <c:v>686321.344156172</c:v>
                </c:pt>
                <c:pt idx="10">
                  <c:v>669485.799709813</c:v>
                </c:pt>
              </c:numCache>
            </c:numRef>
          </c:val>
          <c:smooth val="1"/>
        </c:ser>
        <c:hiLowLines>
          <c:spPr>
            <a:ln w="0">
              <a:noFill/>
            </a:ln>
          </c:spPr>
        </c:hiLowLines>
        <c:marker val="0"/>
        <c:axId val="94916078"/>
        <c:axId val="74047657"/>
      </c:lineChart>
      <c:catAx>
        <c:axId val="94916078"/>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4047657"/>
        <c:crosses val="autoZero"/>
        <c:auto val="1"/>
        <c:lblAlgn val="ctr"/>
        <c:lblOffset val="100"/>
        <c:noMultiLvlLbl val="0"/>
      </c:catAx>
      <c:valAx>
        <c:axId val="74047657"/>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Amount (CAD)</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4916078"/>
        <c:crosses val="autoZero"/>
        <c:crossBetween val="between"/>
      </c:valAx>
      <c:spPr>
        <a:solidFill>
          <a:srgbClr val="ffffff"/>
        </a:solid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Cumulative Cash Flow</a:t>
            </a:r>
          </a:p>
        </c:rich>
      </c:tx>
      <c:overlay val="0"/>
      <c:spPr>
        <a:noFill/>
        <a:ln w="0">
          <a:noFill/>
        </a:ln>
      </c:spPr>
    </c:title>
    <c:autoTitleDeleted val="0"/>
    <c:plotArea>
      <c:barChart>
        <c:barDir val="col"/>
        <c:grouping val="clustered"/>
        <c:varyColors val="0"/>
        <c:ser>
          <c:idx val="0"/>
          <c:order val="0"/>
          <c:tx>
            <c:strRef>
              <c:f>Charts!D4</c:f>
              <c:strCache>
                <c:ptCount val="1"/>
                <c:pt idx="0">
                  <c:v>Cumulative Cash Flow</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Charts!$B$5:$B$15</c:f>
              <c:strCache>
                <c:ptCount val="11"/>
                <c:pt idx="0">
                  <c:v>0</c:v>
                </c:pt>
                <c:pt idx="1">
                  <c:v>1</c:v>
                </c:pt>
                <c:pt idx="2">
                  <c:v>2</c:v>
                </c:pt>
                <c:pt idx="3">
                  <c:v>3</c:v>
                </c:pt>
                <c:pt idx="4">
                  <c:v>4</c:v>
                </c:pt>
                <c:pt idx="5">
                  <c:v>5</c:v>
                </c:pt>
                <c:pt idx="6">
                  <c:v>6</c:v>
                </c:pt>
                <c:pt idx="7">
                  <c:v>7</c:v>
                </c:pt>
                <c:pt idx="8">
                  <c:v>8</c:v>
                </c:pt>
                <c:pt idx="9">
                  <c:v>9</c:v>
                </c:pt>
                <c:pt idx="10">
                  <c:v>10</c:v>
                </c:pt>
              </c:strCache>
            </c:strRef>
          </c:cat>
          <c:val>
            <c:numRef>
              <c:f>Charts!$D$5:$D$15</c:f>
              <c:numCache>
                <c:formatCode>\$#,##0</c:formatCode>
                <c:ptCount val="11"/>
                <c:pt idx="0">
                  <c:v>-225000</c:v>
                </c:pt>
                <c:pt idx="1">
                  <c:v>-250156.850414664</c:v>
                </c:pt>
                <c:pt idx="2">
                  <c:v>-274503.700829329</c:v>
                </c:pt>
                <c:pt idx="3">
                  <c:v>-298020.301243993</c:v>
                </c:pt>
                <c:pt idx="4">
                  <c:v>-320685.895408657</c:v>
                </c:pt>
                <c:pt idx="5">
                  <c:v>-342479.208167071</c:v>
                </c:pt>
                <c:pt idx="6">
                  <c:v>-363378.432484079</c:v>
                </c:pt>
                <c:pt idx="7">
                  <c:v>-383361.216148646</c:v>
                </c:pt>
                <c:pt idx="8">
                  <c:v>-402404.64814446</c:v>
                </c:pt>
                <c:pt idx="9">
                  <c:v>-420485.244679803</c:v>
                </c:pt>
                <c:pt idx="10">
                  <c:v>-437578.934868163</c:v>
                </c:pt>
              </c:numCache>
            </c:numRef>
          </c:val>
        </c:ser>
        <c:gapWidth val="150"/>
        <c:overlap val="0"/>
        <c:axId val="38093959"/>
        <c:axId val="23119328"/>
      </c:barChart>
      <c:catAx>
        <c:axId val="38093959"/>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3119328"/>
        <c:crosses val="autoZero"/>
        <c:auto val="1"/>
        <c:lblAlgn val="ctr"/>
        <c:lblOffset val="100"/>
        <c:noMultiLvlLbl val="0"/>
      </c:catAx>
      <c:valAx>
        <c:axId val="23119328"/>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Amount (CAD)</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8093959"/>
        <c:crosses val="autoZero"/>
        <c:crossBetween val="between"/>
      </c:valAx>
      <c:spPr>
        <a:solidFill>
          <a:srgbClr val="ffffff"/>
        </a:solid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16</xdr:row>
      <xdr:rowOff>10080</xdr:rowOff>
    </xdr:from>
    <xdr:to>
      <xdr:col>9</xdr:col>
      <xdr:colOff>164160</xdr:colOff>
      <xdr:row>42</xdr:row>
      <xdr:rowOff>96840</xdr:rowOff>
    </xdr:to>
    <xdr:graphicFrame>
      <xdr:nvGraphicFramePr>
        <xdr:cNvPr id="0" name="Chart 1"/>
        <xdr:cNvGraphicFramePr/>
      </xdr:nvGraphicFramePr>
      <xdr:xfrm>
        <a:off x="211320" y="3238560"/>
        <a:ext cx="791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33</xdr:row>
      <xdr:rowOff>10440</xdr:rowOff>
    </xdr:from>
    <xdr:to>
      <xdr:col>9</xdr:col>
      <xdr:colOff>164160</xdr:colOff>
      <xdr:row>59</xdr:row>
      <xdr:rowOff>96840</xdr:rowOff>
    </xdr:to>
    <xdr:graphicFrame>
      <xdr:nvGraphicFramePr>
        <xdr:cNvPr id="1" name="Chart 2"/>
        <xdr:cNvGraphicFramePr/>
      </xdr:nvGraphicFramePr>
      <xdr:xfrm>
        <a:off x="211320" y="6477120"/>
        <a:ext cx="7919640" cy="50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50</xdr:row>
      <xdr:rowOff>10440</xdr:rowOff>
    </xdr:from>
    <xdr:to>
      <xdr:col>9</xdr:col>
      <xdr:colOff>164160</xdr:colOff>
      <xdr:row>76</xdr:row>
      <xdr:rowOff>96840</xdr:rowOff>
    </xdr:to>
    <xdr:graphicFrame>
      <xdr:nvGraphicFramePr>
        <xdr:cNvPr id="2" name="Chart 3"/>
        <xdr:cNvGraphicFramePr/>
      </xdr:nvGraphicFramePr>
      <xdr:xfrm>
        <a:off x="211320" y="9715680"/>
        <a:ext cx="7919640" cy="50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B2:F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42"/>
    <col collapsed="false" customWidth="true" hidden="false" outlineLevel="0" max="3" min="3" style="0" width="18"/>
    <col collapsed="false" customWidth="true" hidden="false" outlineLevel="0" max="4" min="4" style="0" width="5"/>
    <col collapsed="false" customWidth="true" hidden="false" outlineLevel="0" max="5" min="5" style="0" width="42"/>
    <col collapsed="false" customWidth="true" hidden="false" outlineLevel="0" max="6" min="6" style="0" width="18"/>
  </cols>
  <sheetData>
    <row r="2" customFormat="false" ht="17.35" hidden="false" customHeight="false" outlineLevel="0" collapsed="false">
      <c r="B2" s="1" t="s">
        <v>0</v>
      </c>
      <c r="C2" s="1"/>
      <c r="D2" s="1"/>
      <c r="E2" s="1"/>
      <c r="F2" s="1"/>
    </row>
    <row r="3" customFormat="false" ht="15" hidden="false" customHeight="false" outlineLevel="0" collapsed="false">
      <c r="B3" s="2" t="s">
        <v>1</v>
      </c>
      <c r="C3" s="2"/>
      <c r="D3" s="2"/>
      <c r="E3" s="2"/>
      <c r="F3" s="2"/>
    </row>
    <row r="5" customFormat="false" ht="26.85" hidden="false" customHeight="false" outlineLevel="0" collapsed="false">
      <c r="B5" s="3" t="s">
        <v>2</v>
      </c>
      <c r="C5" s="4"/>
      <c r="E5" s="3" t="s">
        <v>3</v>
      </c>
      <c r="F5" s="4"/>
    </row>
    <row r="6" customFormat="false" ht="15" hidden="false" customHeight="false" outlineLevel="0" collapsed="false">
      <c r="B6" s="5" t="s">
        <v>4</v>
      </c>
      <c r="C6" s="6" t="n">
        <v>1000000</v>
      </c>
      <c r="E6" s="7" t="s">
        <v>5</v>
      </c>
      <c r="F6" s="7" t="s">
        <v>6</v>
      </c>
    </row>
    <row r="7" customFormat="false" ht="23.85" hidden="false" customHeight="false" outlineLevel="0" collapsed="false">
      <c r="B7" s="5" t="s">
        <v>7</v>
      </c>
      <c r="C7" s="8" t="n">
        <v>0.2</v>
      </c>
      <c r="E7" s="7" t="s">
        <v>8</v>
      </c>
      <c r="F7" s="7" t="s">
        <v>9</v>
      </c>
    </row>
    <row r="8" customFormat="false" ht="23.85" hidden="false" customHeight="false" outlineLevel="0" collapsed="false">
      <c r="B8" s="5" t="s">
        <v>10</v>
      </c>
      <c r="C8" s="9" t="n">
        <f aca="false">C6*C7</f>
        <v>200000</v>
      </c>
      <c r="E8" s="7" t="s">
        <v>11</v>
      </c>
      <c r="F8" s="7" t="s">
        <v>12</v>
      </c>
    </row>
    <row r="9" customFormat="false" ht="23.85" hidden="false" customHeight="false" outlineLevel="0" collapsed="false">
      <c r="B9" s="5" t="s">
        <v>13</v>
      </c>
      <c r="C9" s="9" t="n">
        <f aca="false">C6-C8</f>
        <v>800000</v>
      </c>
      <c r="E9" s="7" t="s">
        <v>14</v>
      </c>
      <c r="F9" s="7" t="s">
        <v>15</v>
      </c>
    </row>
    <row r="10" customFormat="false" ht="15" hidden="false" customHeight="false" outlineLevel="0" collapsed="false">
      <c r="B10" s="5" t="s">
        <v>16</v>
      </c>
      <c r="C10" s="8" t="n">
        <v>0.025</v>
      </c>
      <c r="E10" s="7" t="s">
        <v>17</v>
      </c>
      <c r="F10" s="7" t="s">
        <v>18</v>
      </c>
    </row>
    <row r="11" customFormat="false" ht="15" hidden="false" customHeight="false" outlineLevel="0" collapsed="false">
      <c r="B11" s="5" t="s">
        <v>19</v>
      </c>
      <c r="C11" s="9" t="n">
        <f aca="false">C6*C10</f>
        <v>25000</v>
      </c>
      <c r="E11" s="7" t="s">
        <v>20</v>
      </c>
      <c r="F11" s="7" t="s">
        <v>21</v>
      </c>
    </row>
    <row r="12" customFormat="false" ht="23.85" hidden="false" customHeight="false" outlineLevel="0" collapsed="false">
      <c r="B12" s="5" t="s">
        <v>22</v>
      </c>
      <c r="C12" s="10" t="n">
        <f aca="false">C8+C11</f>
        <v>225000</v>
      </c>
      <c r="E12" s="7" t="s">
        <v>23</v>
      </c>
      <c r="F12" s="7" t="s">
        <v>24</v>
      </c>
    </row>
    <row r="13" customFormat="false" ht="23.85" hidden="false" customHeight="false" outlineLevel="0" collapsed="false">
      <c r="E13" s="7" t="s">
        <v>25</v>
      </c>
      <c r="F13" s="7" t="s">
        <v>26</v>
      </c>
    </row>
    <row r="14" customFormat="false" ht="15" hidden="false" customHeight="false" outlineLevel="0" collapsed="false">
      <c r="B14" s="3" t="s">
        <v>27</v>
      </c>
      <c r="C14" s="4"/>
      <c r="E14" s="7" t="s">
        <v>28</v>
      </c>
      <c r="F14" s="7" t="s">
        <v>29</v>
      </c>
    </row>
    <row r="15" customFormat="false" ht="15" hidden="false" customHeight="false" outlineLevel="0" collapsed="false">
      <c r="B15" s="5" t="s">
        <v>30</v>
      </c>
      <c r="C15" s="11" t="n">
        <v>0.06</v>
      </c>
      <c r="E15" s="7" t="s">
        <v>31</v>
      </c>
      <c r="F15" s="7" t="s">
        <v>32</v>
      </c>
    </row>
    <row r="16" customFormat="false" ht="15" hidden="false" customHeight="false" outlineLevel="0" collapsed="false">
      <c r="B16" s="5" t="s">
        <v>33</v>
      </c>
      <c r="C16" s="12" t="n">
        <v>30</v>
      </c>
      <c r="E16" s="7" t="s">
        <v>34</v>
      </c>
      <c r="F16" s="7" t="s">
        <v>35</v>
      </c>
    </row>
    <row r="17" customFormat="false" ht="15" hidden="false" customHeight="false" outlineLevel="0" collapsed="false">
      <c r="B17" s="5" t="s">
        <v>36</v>
      </c>
      <c r="C17" s="13" t="n">
        <f aca="false">C15/12</f>
        <v>0.005</v>
      </c>
      <c r="E17" s="7" t="s">
        <v>37</v>
      </c>
      <c r="F17" s="7" t="s">
        <v>38</v>
      </c>
    </row>
    <row r="18" customFormat="false" ht="15" hidden="false" customHeight="false" outlineLevel="0" collapsed="false">
      <c r="B18" s="5" t="s">
        <v>39</v>
      </c>
      <c r="C18" s="14" t="n">
        <f aca="false">C16*12</f>
        <v>360</v>
      </c>
    </row>
    <row r="19" customFormat="false" ht="46.25" hidden="false" customHeight="false" outlineLevel="0" collapsed="false">
      <c r="B19" s="5" t="s">
        <v>40</v>
      </c>
      <c r="C19" s="10" t="n">
        <f aca="false">-PMT(C17,C18,C9)</f>
        <v>4796.40420122202</v>
      </c>
      <c r="E19" s="15" t="s">
        <v>41</v>
      </c>
      <c r="F19" s="16" t="s">
        <v>42</v>
      </c>
    </row>
    <row r="20" customFormat="false" ht="35.05" hidden="false" customHeight="false" outlineLevel="0" collapsed="false">
      <c r="B20" s="5" t="s">
        <v>43</v>
      </c>
      <c r="C20" s="10" t="n">
        <f aca="false">C19*12</f>
        <v>57556.8504146642</v>
      </c>
      <c r="E20" s="17" t="s">
        <v>44</v>
      </c>
      <c r="F20" s="18" t="s">
        <v>45</v>
      </c>
    </row>
    <row r="21" customFormat="false" ht="35.05" hidden="false" customHeight="false" outlineLevel="0" collapsed="false">
      <c r="E21" s="19" t="s">
        <v>46</v>
      </c>
      <c r="F21" s="20" t="s">
        <v>47</v>
      </c>
    </row>
    <row r="22" customFormat="false" ht="15" hidden="false" customHeight="false" outlineLevel="0" collapsed="false">
      <c r="B22" s="3" t="s">
        <v>48</v>
      </c>
      <c r="C22" s="4"/>
    </row>
    <row r="23" customFormat="false" ht="15" hidden="false" customHeight="false" outlineLevel="0" collapsed="false">
      <c r="B23" s="5" t="s">
        <v>49</v>
      </c>
      <c r="C23" s="6" t="n">
        <v>4000</v>
      </c>
      <c r="E23" s="3" t="s">
        <v>50</v>
      </c>
      <c r="F23" s="4"/>
    </row>
    <row r="24" customFormat="false" ht="15" hidden="false" customHeight="false" outlineLevel="0" collapsed="false">
      <c r="B24" s="5" t="s">
        <v>51</v>
      </c>
      <c r="C24" s="8" t="n">
        <v>0.025</v>
      </c>
      <c r="E24" s="21" t="s">
        <v>52</v>
      </c>
    </row>
    <row r="25" customFormat="false" ht="15" hidden="false" customHeight="false" outlineLevel="0" collapsed="false">
      <c r="B25" s="5" t="s">
        <v>53</v>
      </c>
      <c r="C25" s="8" t="n">
        <v>0.1</v>
      </c>
      <c r="E25" s="21" t="s">
        <v>54</v>
      </c>
    </row>
    <row r="26" customFormat="false" ht="15" hidden="false" customHeight="false" outlineLevel="0" collapsed="false">
      <c r="B26" s="5" t="s">
        <v>55</v>
      </c>
      <c r="C26" s="8" t="n">
        <v>0.25</v>
      </c>
      <c r="E26" s="21" t="s">
        <v>56</v>
      </c>
    </row>
    <row r="27" customFormat="false" ht="15" hidden="false" customHeight="false" outlineLevel="0" collapsed="false">
      <c r="E27" s="21" t="s">
        <v>57</v>
      </c>
    </row>
    <row r="28" customFormat="false" ht="15" hidden="false" customHeight="false" outlineLevel="0" collapsed="false">
      <c r="B28" s="3" t="s">
        <v>58</v>
      </c>
      <c r="C28" s="4"/>
      <c r="E28" s="21" t="s">
        <v>59</v>
      </c>
    </row>
    <row r="29" customFormat="false" ht="15" hidden="false" customHeight="false" outlineLevel="0" collapsed="false">
      <c r="B29" s="5" t="s">
        <v>60</v>
      </c>
      <c r="C29" s="8" t="n">
        <v>0.025</v>
      </c>
      <c r="E29" s="21" t="s">
        <v>61</v>
      </c>
    </row>
    <row r="30" customFormat="false" ht="15" hidden="false" customHeight="false" outlineLevel="0" collapsed="false">
      <c r="B30" s="5" t="s">
        <v>62</v>
      </c>
      <c r="C30" s="8" t="n">
        <v>0.04</v>
      </c>
      <c r="E30" s="21" t="s">
        <v>63</v>
      </c>
    </row>
    <row r="31" customFormat="false" ht="15" hidden="false" customHeight="false" outlineLevel="0" collapsed="false">
      <c r="B31" s="5" t="s">
        <v>64</v>
      </c>
      <c r="C31" s="8" t="n">
        <v>0.005</v>
      </c>
      <c r="E31" s="21" t="s">
        <v>65</v>
      </c>
    </row>
    <row r="32" customFormat="false" ht="15" hidden="false" customHeight="false" outlineLevel="0" collapsed="false">
      <c r="E32" s="21" t="s">
        <v>66</v>
      </c>
    </row>
    <row r="33" customFormat="false" ht="15" hidden="false" customHeight="false" outlineLevel="0" collapsed="false">
      <c r="B33" s="3" t="s">
        <v>67</v>
      </c>
      <c r="C33" s="4"/>
      <c r="E33" s="21" t="s">
        <v>68</v>
      </c>
    </row>
    <row r="34" customFormat="false" ht="15" hidden="false" customHeight="false" outlineLevel="0" collapsed="false">
      <c r="B34" s="5" t="s">
        <v>69</v>
      </c>
      <c r="C34" s="12" t="n">
        <v>10</v>
      </c>
    </row>
    <row r="35" customFormat="false" ht="15" hidden="false" customHeight="false" outlineLevel="0" collapsed="false">
      <c r="B35" s="5" t="s">
        <v>70</v>
      </c>
      <c r="C35" s="8" t="n">
        <v>0.05</v>
      </c>
    </row>
  </sheetData>
  <mergeCells count="2">
    <mergeCell ref="B2:F2"/>
    <mergeCell ref="B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B2:M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13" min="3" style="0" width="16"/>
  </cols>
  <sheetData>
    <row r="2" customFormat="false" ht="17.35" hidden="false" customHeight="false" outlineLevel="0" collapsed="false">
      <c r="B2" s="1" t="s">
        <v>71</v>
      </c>
      <c r="C2" s="1"/>
      <c r="D2" s="1"/>
      <c r="E2" s="1"/>
      <c r="F2" s="1"/>
      <c r="G2" s="1"/>
      <c r="H2" s="1"/>
      <c r="I2" s="1"/>
      <c r="J2" s="1"/>
      <c r="K2" s="1"/>
      <c r="L2" s="1"/>
      <c r="M2" s="1"/>
    </row>
    <row r="4" customFormat="false" ht="15" hidden="false" customHeight="false" outlineLevel="0" collapsed="false">
      <c r="B4" s="4"/>
      <c r="C4" s="3" t="s">
        <v>72</v>
      </c>
      <c r="D4" s="3" t="s">
        <v>73</v>
      </c>
      <c r="E4" s="3" t="s">
        <v>74</v>
      </c>
      <c r="F4" s="3" t="s">
        <v>75</v>
      </c>
      <c r="G4" s="3" t="s">
        <v>76</v>
      </c>
      <c r="H4" s="3" t="s">
        <v>77</v>
      </c>
      <c r="I4" s="3" t="s">
        <v>78</v>
      </c>
      <c r="J4" s="3" t="s">
        <v>79</v>
      </c>
      <c r="K4" s="3" t="s">
        <v>80</v>
      </c>
      <c r="L4" s="3" t="s">
        <v>81</v>
      </c>
      <c r="M4" s="3" t="s">
        <v>82</v>
      </c>
    </row>
    <row r="5" customFormat="false" ht="15" hidden="false" customHeight="false" outlineLevel="0" collapsed="false">
      <c r="B5" s="22" t="s">
        <v>83</v>
      </c>
      <c r="C5" s="23"/>
      <c r="D5" s="23"/>
      <c r="E5" s="23"/>
      <c r="F5" s="23"/>
      <c r="G5" s="23"/>
      <c r="H5" s="23"/>
      <c r="I5" s="23"/>
      <c r="J5" s="23"/>
      <c r="K5" s="23"/>
      <c r="L5" s="23"/>
      <c r="M5" s="23"/>
    </row>
    <row r="6" customFormat="false" ht="15" hidden="false" customHeight="false" outlineLevel="0" collapsed="false">
      <c r="B6" s="24" t="s">
        <v>84</v>
      </c>
      <c r="C6" s="25"/>
      <c r="D6" s="26" t="n">
        <f aca="false">Assumptions!C29</f>
        <v>0.025</v>
      </c>
      <c r="E6" s="26" t="n">
        <f aca="false">Assumptions!C29</f>
        <v>0.025</v>
      </c>
      <c r="F6" s="26" t="n">
        <f aca="false">Assumptions!C29</f>
        <v>0.025</v>
      </c>
      <c r="G6" s="26" t="n">
        <f aca="false">Assumptions!C29</f>
        <v>0.025</v>
      </c>
      <c r="H6" s="26" t="n">
        <f aca="false">Assumptions!C29</f>
        <v>0.025</v>
      </c>
      <c r="I6" s="26" t="n">
        <f aca="false">Assumptions!C29</f>
        <v>0.025</v>
      </c>
      <c r="J6" s="26" t="n">
        <f aca="false">Assumptions!C29</f>
        <v>0.025</v>
      </c>
      <c r="K6" s="26" t="n">
        <f aca="false">Assumptions!C29</f>
        <v>0.025</v>
      </c>
      <c r="L6" s="26" t="n">
        <f aca="false">Assumptions!C29</f>
        <v>0.025</v>
      </c>
      <c r="M6" s="26" t="n">
        <f aca="false">Assumptions!C29</f>
        <v>0.025</v>
      </c>
    </row>
    <row r="7" customFormat="false" ht="15" hidden="false" customHeight="false" outlineLevel="0" collapsed="false">
      <c r="B7" s="27" t="s">
        <v>85</v>
      </c>
      <c r="C7" s="28" t="n">
        <f aca="false">Assumptions!C6</f>
        <v>1000000</v>
      </c>
      <c r="D7" s="9" t="n">
        <f aca="false">C7*(1+D6)</f>
        <v>1025000</v>
      </c>
      <c r="E7" s="9" t="n">
        <f aca="false">D7*(1+E6)</f>
        <v>1050625</v>
      </c>
      <c r="F7" s="9" t="n">
        <f aca="false">E7*(1+F6)</f>
        <v>1076890.625</v>
      </c>
      <c r="G7" s="9" t="n">
        <f aca="false">F7*(1+G6)</f>
        <v>1103812.890625</v>
      </c>
      <c r="H7" s="9" t="n">
        <f aca="false">G7*(1+H6)</f>
        <v>1131408.21289062</v>
      </c>
      <c r="I7" s="9" t="n">
        <f aca="false">H7*(1+I6)</f>
        <v>1159693.41821289</v>
      </c>
      <c r="J7" s="9" t="n">
        <f aca="false">I7*(1+J6)</f>
        <v>1188685.75366821</v>
      </c>
      <c r="K7" s="9" t="n">
        <f aca="false">J7*(1+K6)</f>
        <v>1218402.89750992</v>
      </c>
      <c r="L7" s="9" t="n">
        <f aca="false">K7*(1+L6)</f>
        <v>1248862.96994767</v>
      </c>
      <c r="M7" s="9" t="n">
        <f aca="false">L7*(1+M6)</f>
        <v>1280084.54419636</v>
      </c>
    </row>
    <row r="9" customFormat="false" ht="15" hidden="false" customHeight="false" outlineLevel="0" collapsed="false">
      <c r="B9" s="22" t="s">
        <v>86</v>
      </c>
      <c r="C9" s="23"/>
      <c r="D9" s="23"/>
      <c r="E9" s="23"/>
      <c r="F9" s="23"/>
      <c r="G9" s="23"/>
      <c r="H9" s="23"/>
      <c r="I9" s="23"/>
      <c r="J9" s="23"/>
      <c r="K9" s="23"/>
      <c r="L9" s="23"/>
      <c r="M9" s="23"/>
    </row>
    <row r="10" customFormat="false" ht="15" hidden="false" customHeight="false" outlineLevel="0" collapsed="false">
      <c r="B10" s="24" t="s">
        <v>87</v>
      </c>
      <c r="C10" s="25"/>
      <c r="D10" s="28" t="n">
        <f aca="false">Assumptions!C23</f>
        <v>4000</v>
      </c>
      <c r="E10" s="9" t="n">
        <f aca="false">D10*(1+Assumptions!C24)</f>
        <v>4100</v>
      </c>
      <c r="F10" s="9" t="n">
        <f aca="false">E10*(1+Assumptions!C24)</f>
        <v>4202.5</v>
      </c>
      <c r="G10" s="9" t="n">
        <f aca="false">F10*(1+Assumptions!C24)</f>
        <v>4307.5625</v>
      </c>
      <c r="H10" s="9" t="n">
        <f aca="false">G10*(1+Assumptions!C24)</f>
        <v>4415.2515625</v>
      </c>
      <c r="I10" s="9" t="n">
        <f aca="false">H10*(1+Assumptions!C24)</f>
        <v>4525.6328515625</v>
      </c>
      <c r="J10" s="9" t="n">
        <f aca="false">I10*(1+Assumptions!C24)</f>
        <v>4638.77367285156</v>
      </c>
      <c r="K10" s="9" t="n">
        <f aca="false">J10*(1+Assumptions!C24)</f>
        <v>4754.74301467285</v>
      </c>
      <c r="L10" s="9" t="n">
        <f aca="false">K10*(1+Assumptions!C24)</f>
        <v>4873.61159003967</v>
      </c>
      <c r="M10" s="9" t="n">
        <f aca="false">L10*(1+Assumptions!C24)</f>
        <v>4995.45187979066</v>
      </c>
    </row>
    <row r="11" customFormat="false" ht="15" hidden="false" customHeight="false" outlineLevel="0" collapsed="false">
      <c r="B11" s="24" t="s">
        <v>88</v>
      </c>
      <c r="C11" s="25"/>
      <c r="D11" s="9" t="n">
        <f aca="false">D10*12</f>
        <v>48000</v>
      </c>
      <c r="E11" s="9" t="n">
        <f aca="false">E10*12</f>
        <v>49200</v>
      </c>
      <c r="F11" s="9" t="n">
        <f aca="false">F10*12</f>
        <v>50430</v>
      </c>
      <c r="G11" s="9" t="n">
        <f aca="false">G10*12</f>
        <v>51690.75</v>
      </c>
      <c r="H11" s="9" t="n">
        <f aca="false">H10*12</f>
        <v>52983.01875</v>
      </c>
      <c r="I11" s="9" t="n">
        <f aca="false">I10*12</f>
        <v>54307.59421875</v>
      </c>
      <c r="J11" s="9" t="n">
        <f aca="false">J10*12</f>
        <v>55665.2840742187</v>
      </c>
      <c r="K11" s="9" t="n">
        <f aca="false">K10*12</f>
        <v>57056.9161760742</v>
      </c>
      <c r="L11" s="9" t="n">
        <f aca="false">L10*12</f>
        <v>58483.339080476</v>
      </c>
      <c r="M11" s="9" t="n">
        <f aca="false">M10*12</f>
        <v>59945.4225574879</v>
      </c>
    </row>
    <row r="12" customFormat="false" ht="15" hidden="false" customHeight="false" outlineLevel="0" collapsed="false">
      <c r="B12" s="24" t="s">
        <v>89</v>
      </c>
      <c r="C12" s="25"/>
      <c r="D12" s="29" t="n">
        <f aca="false">-D11*Assumptions!C25</f>
        <v>-4800</v>
      </c>
      <c r="E12" s="29" t="n">
        <f aca="false">-E11*Assumptions!C25</f>
        <v>-4920</v>
      </c>
      <c r="F12" s="29" t="n">
        <f aca="false">-F11*Assumptions!C25</f>
        <v>-5043</v>
      </c>
      <c r="G12" s="29" t="n">
        <f aca="false">-G11*Assumptions!C25</f>
        <v>-5169.075</v>
      </c>
      <c r="H12" s="29" t="n">
        <f aca="false">-H11*Assumptions!C25</f>
        <v>-5298.301875</v>
      </c>
      <c r="I12" s="29" t="n">
        <f aca="false">-I11*Assumptions!C25</f>
        <v>-5430.759421875</v>
      </c>
      <c r="J12" s="29" t="n">
        <f aca="false">-J11*Assumptions!C25</f>
        <v>-5566.52840742187</v>
      </c>
      <c r="K12" s="29" t="n">
        <f aca="false">-K11*Assumptions!C25</f>
        <v>-5705.69161760742</v>
      </c>
      <c r="L12" s="29" t="n">
        <f aca="false">-L11*Assumptions!C25</f>
        <v>-5848.3339080476</v>
      </c>
      <c r="M12" s="29" t="n">
        <f aca="false">-M11*Assumptions!C25</f>
        <v>-5994.5422557488</v>
      </c>
    </row>
    <row r="13" customFormat="false" ht="15" hidden="false" customHeight="false" outlineLevel="0" collapsed="false">
      <c r="B13" s="27" t="s">
        <v>90</v>
      </c>
      <c r="C13" s="30"/>
      <c r="D13" s="10" t="n">
        <f aca="false">D11+D12</f>
        <v>43200</v>
      </c>
      <c r="E13" s="10" t="n">
        <f aca="false">E11+E12</f>
        <v>44280</v>
      </c>
      <c r="F13" s="10" t="n">
        <f aca="false">F11+F12</f>
        <v>45387</v>
      </c>
      <c r="G13" s="10" t="n">
        <f aca="false">G11+G12</f>
        <v>46521.675</v>
      </c>
      <c r="H13" s="10" t="n">
        <f aca="false">H11+H12</f>
        <v>47684.716875</v>
      </c>
      <c r="I13" s="10" t="n">
        <f aca="false">I11+I12</f>
        <v>48876.834796875</v>
      </c>
      <c r="J13" s="10" t="n">
        <f aca="false">J11+J12</f>
        <v>50098.7556667969</v>
      </c>
      <c r="K13" s="10" t="n">
        <f aca="false">K11+K12</f>
        <v>51351.2245584668</v>
      </c>
      <c r="L13" s="10" t="n">
        <f aca="false">L11+L12</f>
        <v>52635.0051724284</v>
      </c>
      <c r="M13" s="10" t="n">
        <f aca="false">M11+M12</f>
        <v>53950.8803017392</v>
      </c>
    </row>
    <row r="15" customFormat="false" ht="15" hidden="false" customHeight="false" outlineLevel="0" collapsed="false">
      <c r="B15" s="22" t="s">
        <v>91</v>
      </c>
      <c r="C15" s="23"/>
      <c r="D15" s="23"/>
      <c r="E15" s="23"/>
      <c r="F15" s="23"/>
      <c r="G15" s="23"/>
      <c r="H15" s="23"/>
      <c r="I15" s="23"/>
      <c r="J15" s="23"/>
      <c r="K15" s="23"/>
      <c r="L15" s="23"/>
      <c r="M15" s="23"/>
    </row>
    <row r="16" customFormat="false" ht="15" hidden="false" customHeight="false" outlineLevel="0" collapsed="false">
      <c r="B16" s="24" t="s">
        <v>92</v>
      </c>
      <c r="C16" s="25"/>
      <c r="D16" s="29" t="n">
        <f aca="false">-D13*Assumptions!C26</f>
        <v>-10800</v>
      </c>
      <c r="E16" s="29" t="n">
        <f aca="false">-E13*Assumptions!C26</f>
        <v>-11070</v>
      </c>
      <c r="F16" s="29" t="n">
        <f aca="false">-F13*Assumptions!C26</f>
        <v>-11346.75</v>
      </c>
      <c r="G16" s="29" t="n">
        <f aca="false">-G13*Assumptions!C26</f>
        <v>-11630.41875</v>
      </c>
      <c r="H16" s="29" t="n">
        <f aca="false">-H13*Assumptions!C26</f>
        <v>-11921.17921875</v>
      </c>
      <c r="I16" s="29" t="n">
        <f aca="false">-I13*Assumptions!C26</f>
        <v>-12219.2086992187</v>
      </c>
      <c r="J16" s="29" t="n">
        <f aca="false">-J13*Assumptions!C26</f>
        <v>-12524.6889166992</v>
      </c>
      <c r="K16" s="29" t="n">
        <f aca="false">-K13*Assumptions!C26</f>
        <v>-12837.8061396167</v>
      </c>
      <c r="L16" s="29" t="n">
        <f aca="false">-L13*Assumptions!C26</f>
        <v>-13158.7512931071</v>
      </c>
      <c r="M16" s="29" t="n">
        <f aca="false">-M13*Assumptions!C26</f>
        <v>-13487.7200754348</v>
      </c>
    </row>
    <row r="17" customFormat="false" ht="15" hidden="false" customHeight="false" outlineLevel="0" collapsed="false">
      <c r="B17" s="27" t="s">
        <v>93</v>
      </c>
      <c r="C17" s="30"/>
      <c r="D17" s="10" t="n">
        <f aca="false">D13+D16</f>
        <v>32400</v>
      </c>
      <c r="E17" s="10" t="n">
        <f aca="false">E13+E16</f>
        <v>33210</v>
      </c>
      <c r="F17" s="10" t="n">
        <f aca="false">F13+F16</f>
        <v>34040.25</v>
      </c>
      <c r="G17" s="10" t="n">
        <f aca="false">G13+G16</f>
        <v>34891.25625</v>
      </c>
      <c r="H17" s="10" t="n">
        <f aca="false">H13+H16</f>
        <v>35763.53765625</v>
      </c>
      <c r="I17" s="10" t="n">
        <f aca="false">I13+I16</f>
        <v>36657.6260976562</v>
      </c>
      <c r="J17" s="10" t="n">
        <f aca="false">J13+J16</f>
        <v>37574.0667500976</v>
      </c>
      <c r="K17" s="10" t="n">
        <f aca="false">K13+K16</f>
        <v>38513.4184188501</v>
      </c>
      <c r="L17" s="10" t="n">
        <f aca="false">L13+L16</f>
        <v>39476.2538793213</v>
      </c>
      <c r="M17" s="10" t="n">
        <f aca="false">M13+M16</f>
        <v>40463.1602263044</v>
      </c>
    </row>
    <row r="19" customFormat="false" ht="15" hidden="false" customHeight="false" outlineLevel="0" collapsed="false">
      <c r="B19" s="22" t="s">
        <v>94</v>
      </c>
      <c r="C19" s="23"/>
      <c r="D19" s="23"/>
      <c r="E19" s="23"/>
      <c r="F19" s="23"/>
      <c r="G19" s="23"/>
      <c r="H19" s="23"/>
      <c r="I19" s="23"/>
      <c r="J19" s="23"/>
      <c r="K19" s="23"/>
      <c r="L19" s="23"/>
      <c r="M19" s="23"/>
    </row>
    <row r="20" customFormat="false" ht="15" hidden="false" customHeight="false" outlineLevel="0" collapsed="false">
      <c r="B20" s="24" t="s">
        <v>43</v>
      </c>
      <c r="C20" s="25"/>
      <c r="D20" s="31" t="n">
        <f aca="false">-Assumptions!C20</f>
        <v>-57556.8504146642</v>
      </c>
      <c r="E20" s="31" t="n">
        <f aca="false">-Assumptions!C20</f>
        <v>-57556.8504146642</v>
      </c>
      <c r="F20" s="31" t="n">
        <f aca="false">-Assumptions!C20</f>
        <v>-57556.8504146642</v>
      </c>
      <c r="G20" s="31" t="n">
        <f aca="false">-Assumptions!C20</f>
        <v>-57556.8504146642</v>
      </c>
      <c r="H20" s="31" t="n">
        <f aca="false">-Assumptions!C20</f>
        <v>-57556.8504146642</v>
      </c>
      <c r="I20" s="31" t="n">
        <f aca="false">-Assumptions!C20</f>
        <v>-57556.8504146642</v>
      </c>
      <c r="J20" s="31" t="n">
        <f aca="false">-Assumptions!C20</f>
        <v>-57556.8504146642</v>
      </c>
      <c r="K20" s="31" t="n">
        <f aca="false">-Assumptions!C20</f>
        <v>-57556.8504146642</v>
      </c>
      <c r="L20" s="31" t="n">
        <f aca="false">-Assumptions!C20</f>
        <v>-57556.8504146642</v>
      </c>
      <c r="M20" s="31" t="n">
        <f aca="false">-Assumptions!C20</f>
        <v>-57556.8504146642</v>
      </c>
    </row>
    <row r="21" customFormat="false" ht="15" hidden="false" customHeight="false" outlineLevel="0" collapsed="false">
      <c r="B21" s="24" t="s">
        <v>95</v>
      </c>
      <c r="C21" s="25"/>
      <c r="D21" s="29" t="n">
        <f aca="false">CUMIPMT(Assumptions!C17,Assumptions!C18,Assumptions!C9,(1-1)*12+1,1*12,0)</f>
        <v>-47732.7567164505</v>
      </c>
      <c r="E21" s="29" t="n">
        <f aca="false">CUMIPMT(Assumptions!C17,Assumptions!C18,Assumptions!C9,(2-1)*12+1,2*12,0)</f>
        <v>-47126.8281135929</v>
      </c>
      <c r="F21" s="29" t="n">
        <f aca="false">CUMIPMT(Assumptions!C17,Assumptions!C18,Assumptions!C9,(3-1)*12+1,3*12,0)</f>
        <v>-46483.5271603649</v>
      </c>
      <c r="G21" s="29" t="n">
        <f aca="false">CUMIPMT(Assumptions!C17,Assumptions!C18,Assumptions!C9,(4-1)*12+1,4*12,0)</f>
        <v>-45800.5488119714</v>
      </c>
      <c r="H21" s="29" t="n">
        <f aca="false">CUMIPMT(Assumptions!C17,Assumptions!C18,Assumptions!C9,(5-1)*12+1,5*12,0)</f>
        <v>-45075.4458534982</v>
      </c>
      <c r="I21" s="29" t="n">
        <f aca="false">CUMIPMT(Assumptions!C17,Assumptions!C18,Assumptions!C9,(6-1)*12+1,6*12,0)</f>
        <v>-44305.6201311699</v>
      </c>
      <c r="J21" s="29" t="n">
        <f aca="false">CUMIPMT(Assumptions!C17,Assumptions!C18,Assumptions!C9,(7-1)*12+1,7*12,0)</f>
        <v>-43488.3132427714</v>
      </c>
      <c r="K21" s="29" t="n">
        <f aca="false">CUMIPMT(Assumptions!C17,Assumptions!C18,Assumptions!C9,(8-1)*12+1,8*12,0)</f>
        <v>-42620.5966538747</v>
      </c>
      <c r="L21" s="29" t="n">
        <f aca="false">CUMIPMT(Assumptions!C17,Assumptions!C18,Assumptions!C9,(9-1)*12+1,9*12,0)</f>
        <v>-41699.3612044563</v>
      </c>
      <c r="M21" s="29" t="n">
        <f aca="false">CUMIPMT(Assumptions!C17,Assumptions!C18,Assumptions!C9,(10-1)*12+1,10*12,0)</f>
        <v>-40721.3059683058</v>
      </c>
    </row>
    <row r="22" customFormat="false" ht="15" hidden="false" customHeight="false" outlineLevel="0" collapsed="false">
      <c r="B22" s="24" t="s">
        <v>96</v>
      </c>
      <c r="C22" s="25"/>
      <c r="D22" s="29" t="n">
        <f aca="false">CUMPRINC(Assumptions!C17,Assumptions!C18,Assumptions!C9,(1-1)*12+1,1*12,0)</f>
        <v>-9824.09369821375</v>
      </c>
      <c r="E22" s="29" t="n">
        <f aca="false">CUMPRINC(Assumptions!C17,Assumptions!C18,Assumptions!C9,(2-1)*12+1,2*12,0)</f>
        <v>-10430.0223010714</v>
      </c>
      <c r="F22" s="29" t="n">
        <f aca="false">CUMPRINC(Assumptions!C17,Assumptions!C18,Assumptions!C9,(3-1)*12+1,3*12,0)</f>
        <v>-11073.3232542994</v>
      </c>
      <c r="G22" s="29" t="n">
        <f aca="false">CUMPRINC(Assumptions!C17,Assumptions!C18,Assumptions!C9,(4-1)*12+1,4*12,0)</f>
        <v>-11756.3016026928</v>
      </c>
      <c r="H22" s="29" t="n">
        <f aca="false">CUMPRINC(Assumptions!C17,Assumptions!C18,Assumptions!C9,(5-1)*12+1,5*12,0)</f>
        <v>-12481.404561166</v>
      </c>
      <c r="I22" s="29" t="n">
        <f aca="false">CUMPRINC(Assumptions!C17,Assumptions!C18,Assumptions!C9,(6-1)*12+1,6*12,0)</f>
        <v>-13251.2302834943</v>
      </c>
      <c r="J22" s="29" t="n">
        <f aca="false">CUMPRINC(Assumptions!C17,Assumptions!C18,Assumptions!C9,(7-1)*12+1,7*12,0)</f>
        <v>-14068.5371718928</v>
      </c>
      <c r="K22" s="29" t="n">
        <f aca="false">CUMPRINC(Assumptions!C17,Assumptions!C18,Assumptions!C9,(8-1)*12+1,8*12,0)</f>
        <v>-14936.2537607895</v>
      </c>
      <c r="L22" s="29" t="n">
        <f aca="false">CUMPRINC(Assumptions!C17,Assumptions!C18,Assumptions!C9,(9-1)*12+1,9*12,0)</f>
        <v>-15857.4892102079</v>
      </c>
      <c r="M22" s="29" t="n">
        <f aca="false">CUMPRINC(Assumptions!C17,Assumptions!C18,Assumptions!C9,(10-1)*12+1,10*12,0)</f>
        <v>-16835.5444463584</v>
      </c>
    </row>
    <row r="24" customFormat="false" ht="15" hidden="false" customHeight="false" outlineLevel="0" collapsed="false">
      <c r="B24" s="22" t="s">
        <v>97</v>
      </c>
      <c r="C24" s="23"/>
      <c r="D24" s="23"/>
      <c r="E24" s="23"/>
      <c r="F24" s="23"/>
      <c r="G24" s="23"/>
      <c r="H24" s="23"/>
      <c r="I24" s="23"/>
      <c r="J24" s="23"/>
      <c r="K24" s="23"/>
      <c r="L24" s="23"/>
      <c r="M24" s="23"/>
    </row>
    <row r="25" customFormat="false" ht="15" hidden="false" customHeight="false" outlineLevel="0" collapsed="false">
      <c r="B25" s="27" t="s">
        <v>98</v>
      </c>
      <c r="C25" s="31" t="n">
        <f aca="false">-Assumptions!C12</f>
        <v>-225000</v>
      </c>
      <c r="D25" s="32" t="n">
        <f aca="false">D17+D20</f>
        <v>-25156.8504146642</v>
      </c>
      <c r="E25" s="32" t="n">
        <f aca="false">E17+E20</f>
        <v>-24346.8504146642</v>
      </c>
      <c r="F25" s="32" t="n">
        <f aca="false">F17+F20</f>
        <v>-23516.6004146642</v>
      </c>
      <c r="G25" s="32" t="n">
        <f aca="false">G17+G20</f>
        <v>-22665.5941646642</v>
      </c>
      <c r="H25" s="32" t="n">
        <f aca="false">H17+H20</f>
        <v>-21793.3127584142</v>
      </c>
      <c r="I25" s="32" t="n">
        <f aca="false">I17+I20</f>
        <v>-20899.224317008</v>
      </c>
      <c r="J25" s="32" t="n">
        <f aca="false">J17+J20</f>
        <v>-19982.7836645666</v>
      </c>
      <c r="K25" s="32" t="n">
        <f aca="false">K17+K20</f>
        <v>-19043.4319958142</v>
      </c>
      <c r="L25" s="32" t="n">
        <f aca="false">L17+L20</f>
        <v>-18080.5965353429</v>
      </c>
      <c r="M25" s="32" t="n">
        <f aca="false">M17+M20</f>
        <v>-17093.6901883599</v>
      </c>
    </row>
    <row r="26" customFormat="false" ht="15" hidden="false" customHeight="false" outlineLevel="0" collapsed="false">
      <c r="B26" s="24" t="s">
        <v>99</v>
      </c>
      <c r="C26" s="29" t="n">
        <f aca="false">C25</f>
        <v>-225000</v>
      </c>
      <c r="D26" s="29" t="n">
        <f aca="false">C26+D25</f>
        <v>-250156.850414664</v>
      </c>
      <c r="E26" s="29" t="n">
        <f aca="false">D26+E25</f>
        <v>-274503.700829329</v>
      </c>
      <c r="F26" s="29" t="n">
        <f aca="false">E26+F25</f>
        <v>-298020.301243993</v>
      </c>
      <c r="G26" s="29" t="n">
        <f aca="false">F26+G25</f>
        <v>-320685.895408657</v>
      </c>
      <c r="H26" s="29" t="n">
        <f aca="false">G26+H25</f>
        <v>-342479.208167071</v>
      </c>
      <c r="I26" s="29" t="n">
        <f aca="false">H26+I25</f>
        <v>-363378.432484079</v>
      </c>
      <c r="J26" s="29" t="n">
        <f aca="false">I26+J25</f>
        <v>-383361.216148646</v>
      </c>
      <c r="K26" s="29" t="n">
        <f aca="false">J26+K25</f>
        <v>-402404.64814446</v>
      </c>
      <c r="L26" s="29" t="n">
        <f aca="false">K26+L25</f>
        <v>-420485.244679803</v>
      </c>
      <c r="M26" s="29" t="n">
        <f aca="false">L26+M25</f>
        <v>-437578.934868163</v>
      </c>
    </row>
    <row r="28" customFormat="false" ht="15" hidden="false" customHeight="false" outlineLevel="0" collapsed="false">
      <c r="B28" s="22" t="s">
        <v>100</v>
      </c>
      <c r="C28" s="23"/>
      <c r="D28" s="23"/>
      <c r="E28" s="23"/>
      <c r="F28" s="23"/>
      <c r="G28" s="23"/>
      <c r="H28" s="23"/>
      <c r="I28" s="23"/>
      <c r="J28" s="23"/>
      <c r="K28" s="23"/>
      <c r="L28" s="23"/>
      <c r="M28" s="23"/>
    </row>
    <row r="29" customFormat="false" ht="15" hidden="false" customHeight="false" outlineLevel="0" collapsed="false">
      <c r="B29" s="24" t="s">
        <v>101</v>
      </c>
      <c r="C29" s="28" t="n">
        <f aca="false">Assumptions!C9</f>
        <v>800000</v>
      </c>
      <c r="D29" s="9" t="n">
        <f aca="false">C29+D22</f>
        <v>790175.906301786</v>
      </c>
      <c r="E29" s="9" t="n">
        <f aca="false">D29+E22</f>
        <v>779745.884000715</v>
      </c>
      <c r="F29" s="9" t="n">
        <f aca="false">E29+F22</f>
        <v>768672.560746415</v>
      </c>
      <c r="G29" s="9" t="n">
        <f aca="false">F29+G22</f>
        <v>756916.259143723</v>
      </c>
      <c r="H29" s="9" t="n">
        <f aca="false">G29+H22</f>
        <v>744434.854582557</v>
      </c>
      <c r="I29" s="9" t="n">
        <f aca="false">H29+I22</f>
        <v>731183.624299062</v>
      </c>
      <c r="J29" s="9" t="n">
        <f aca="false">I29+J22</f>
        <v>717115.087127169</v>
      </c>
      <c r="K29" s="9" t="n">
        <f aca="false">J29+K22</f>
        <v>702178.83336638</v>
      </c>
      <c r="L29" s="9" t="n">
        <f aca="false">K29+L22</f>
        <v>686321.344156172</v>
      </c>
      <c r="M29" s="9" t="n">
        <f aca="false">L29+M22</f>
        <v>669485.799709813</v>
      </c>
    </row>
    <row r="30" customFormat="false" ht="15" hidden="false" customHeight="false" outlineLevel="0" collapsed="false">
      <c r="B30" s="24" t="s">
        <v>102</v>
      </c>
      <c r="C30" s="28" t="n">
        <f aca="false">Assumptions!C8</f>
        <v>200000</v>
      </c>
      <c r="D30" s="9" t="n">
        <f aca="false">D7-D29</f>
        <v>234824.093698214</v>
      </c>
      <c r="E30" s="9" t="n">
        <f aca="false">E7-E29</f>
        <v>270879.115999285</v>
      </c>
      <c r="F30" s="9" t="n">
        <f aca="false">F7-F29</f>
        <v>308218.064253584</v>
      </c>
      <c r="G30" s="9" t="n">
        <f aca="false">G7-G29</f>
        <v>346896.631481277</v>
      </c>
      <c r="H30" s="9" t="n">
        <f aca="false">H7-H29</f>
        <v>386973.358308068</v>
      </c>
      <c r="I30" s="9" t="n">
        <f aca="false">I7-I29</f>
        <v>428509.793913828</v>
      </c>
      <c r="J30" s="9" t="n">
        <f aca="false">J7-J29</f>
        <v>471570.666541043</v>
      </c>
      <c r="K30" s="9" t="n">
        <f aca="false">K7-K29</f>
        <v>516224.064143538</v>
      </c>
      <c r="L30" s="9" t="n">
        <f aca="false">L7-L29</f>
        <v>562541.625791494</v>
      </c>
      <c r="M30" s="9" t="n">
        <f aca="false">M7-M29</f>
        <v>610598.744486544</v>
      </c>
    </row>
    <row r="31" customFormat="false" ht="15" hidden="false" customHeight="false" outlineLevel="0" collapsed="false">
      <c r="B31" s="24" t="s">
        <v>103</v>
      </c>
      <c r="C31" s="9" t="n">
        <v>0</v>
      </c>
      <c r="D31" s="9" t="n">
        <f aca="false">D7-Assumptions!C6</f>
        <v>24999.9999999999</v>
      </c>
      <c r="E31" s="9" t="n">
        <f aca="false">E7-Assumptions!C6</f>
        <v>50624.9999999998</v>
      </c>
      <c r="F31" s="9" t="n">
        <f aca="false">F7-Assumptions!C6</f>
        <v>76890.6249999998</v>
      </c>
      <c r="G31" s="9" t="n">
        <f aca="false">G7-Assumptions!C6</f>
        <v>103812.890625</v>
      </c>
      <c r="H31" s="9" t="n">
        <f aca="false">H7-Assumptions!C6</f>
        <v>131408.212890625</v>
      </c>
      <c r="I31" s="9" t="n">
        <f aca="false">I7-Assumptions!C6</f>
        <v>159693.41821289</v>
      </c>
      <c r="J31" s="9" t="n">
        <f aca="false">J7-Assumptions!C6</f>
        <v>188685.753668213</v>
      </c>
      <c r="K31" s="9" t="n">
        <f aca="false">K7-Assumptions!C6</f>
        <v>218402.897509918</v>
      </c>
      <c r="L31" s="9" t="n">
        <f aca="false">L7-Assumptions!C6</f>
        <v>248862.969947666</v>
      </c>
      <c r="M31" s="9" t="n">
        <f aca="false">M7-Assumptions!C6</f>
        <v>280084.544196357</v>
      </c>
    </row>
    <row r="32" customFormat="false" ht="15" hidden="false" customHeight="false" outlineLevel="0" collapsed="false">
      <c r="B32" s="27" t="s">
        <v>104</v>
      </c>
      <c r="C32" s="28" t="n">
        <f aca="false">Assumptions!C8</f>
        <v>200000</v>
      </c>
      <c r="D32" s="10" t="n">
        <f aca="false">D7-D29</f>
        <v>234824.093698214</v>
      </c>
      <c r="E32" s="10" t="n">
        <f aca="false">E7-E29</f>
        <v>270879.115999285</v>
      </c>
      <c r="F32" s="10" t="n">
        <f aca="false">F7-F29</f>
        <v>308218.064253584</v>
      </c>
      <c r="G32" s="10" t="n">
        <f aca="false">G7-G29</f>
        <v>346896.631481277</v>
      </c>
      <c r="H32" s="10" t="n">
        <f aca="false">H7-H29</f>
        <v>386973.358308068</v>
      </c>
      <c r="I32" s="10" t="n">
        <f aca="false">I7-I29</f>
        <v>428509.793913828</v>
      </c>
      <c r="J32" s="10" t="n">
        <f aca="false">J7-J29</f>
        <v>471570.666541043</v>
      </c>
      <c r="K32" s="10" t="n">
        <f aca="false">K7-K29</f>
        <v>516224.064143538</v>
      </c>
      <c r="L32" s="10" t="n">
        <f aca="false">L7-L29</f>
        <v>562541.625791494</v>
      </c>
      <c r="M32" s="10" t="n">
        <f aca="false">M7-M29</f>
        <v>610598.744486544</v>
      </c>
    </row>
    <row r="34" customFormat="false" ht="15" hidden="false" customHeight="false" outlineLevel="0" collapsed="false">
      <c r="B34" s="22" t="s">
        <v>105</v>
      </c>
      <c r="C34" s="23"/>
      <c r="D34" s="23"/>
      <c r="E34" s="23"/>
      <c r="F34" s="23"/>
      <c r="G34" s="23"/>
      <c r="H34" s="23"/>
      <c r="I34" s="23"/>
      <c r="J34" s="23"/>
      <c r="K34" s="23"/>
      <c r="L34" s="23"/>
      <c r="M34" s="23"/>
    </row>
    <row r="35" customFormat="false" ht="15" hidden="false" customHeight="false" outlineLevel="0" collapsed="false">
      <c r="B35" s="24" t="s">
        <v>106</v>
      </c>
      <c r="M35" s="10" t="n">
        <f aca="false">M7</f>
        <v>1280084.54419636</v>
      </c>
    </row>
    <row r="36" customFormat="false" ht="15" hidden="false" customHeight="false" outlineLevel="0" collapsed="false">
      <c r="B36" s="24" t="s">
        <v>107</v>
      </c>
      <c r="M36" s="29" t="n">
        <f aca="false">-M35*Assumptions!C35</f>
        <v>-64004.2272098179</v>
      </c>
    </row>
    <row r="37" customFormat="false" ht="15" hidden="false" customHeight="false" outlineLevel="0" collapsed="false">
      <c r="B37" s="24" t="s">
        <v>108</v>
      </c>
      <c r="M37" s="29" t="n">
        <f aca="false">-M29</f>
        <v>-669485.799709813</v>
      </c>
    </row>
    <row r="38" customFormat="false" ht="15" hidden="false" customHeight="false" outlineLevel="0" collapsed="false">
      <c r="B38" s="27" t="s">
        <v>109</v>
      </c>
      <c r="M38" s="10" t="n">
        <f aca="false">M35+M36+M37</f>
        <v>546594.517276726</v>
      </c>
    </row>
    <row r="40" customFormat="false" ht="15" hidden="false" customHeight="false" outlineLevel="0" collapsed="false">
      <c r="B40" s="22" t="s">
        <v>110</v>
      </c>
      <c r="C40" s="23"/>
      <c r="D40" s="23"/>
      <c r="E40" s="23"/>
      <c r="F40" s="23"/>
      <c r="G40" s="23"/>
      <c r="H40" s="23"/>
      <c r="I40" s="23"/>
      <c r="J40" s="23"/>
      <c r="K40" s="23"/>
      <c r="L40" s="23"/>
      <c r="M40" s="23"/>
    </row>
    <row r="41" customFormat="false" ht="15" hidden="false" customHeight="false" outlineLevel="0" collapsed="false">
      <c r="B41" s="24" t="s">
        <v>111</v>
      </c>
      <c r="C41" s="29" t="n">
        <f aca="false">C25</f>
        <v>-225000</v>
      </c>
      <c r="D41" s="29" t="n">
        <f aca="false">D25</f>
        <v>-25156.8504146642</v>
      </c>
      <c r="E41" s="29" t="n">
        <f aca="false">E25</f>
        <v>-24346.8504146642</v>
      </c>
      <c r="F41" s="29" t="n">
        <f aca="false">F25</f>
        <v>-23516.6004146642</v>
      </c>
      <c r="G41" s="29" t="n">
        <f aca="false">G25</f>
        <v>-22665.5941646642</v>
      </c>
      <c r="H41" s="29" t="n">
        <f aca="false">H25</f>
        <v>-21793.3127584142</v>
      </c>
      <c r="I41" s="29" t="n">
        <f aca="false">I25</f>
        <v>-20899.224317008</v>
      </c>
      <c r="J41" s="29" t="n">
        <f aca="false">J25</f>
        <v>-19982.7836645666</v>
      </c>
      <c r="K41" s="29" t="n">
        <f aca="false">K25</f>
        <v>-19043.4319958142</v>
      </c>
      <c r="L41" s="29" t="n">
        <f aca="false">L25</f>
        <v>-18080.5965353429</v>
      </c>
      <c r="M41" s="10" t="n">
        <f aca="false">M25+M38</f>
        <v>529500.827088366</v>
      </c>
    </row>
    <row r="42" customFormat="false" ht="15" hidden="false" customHeight="false" outlineLevel="0" collapsed="false">
      <c r="B42" s="17" t="s">
        <v>112</v>
      </c>
      <c r="C42" s="33" t="n">
        <f aca="false">IRR(C41:M41)</f>
        <v>0.0295218619922219</v>
      </c>
    </row>
    <row r="43" customFormat="false" ht="15" hidden="false" customHeight="false" outlineLevel="0" collapsed="false">
      <c r="B43" s="27" t="s">
        <v>113</v>
      </c>
      <c r="C43" s="10" t="n">
        <f aca="false">M38+M26-C25</f>
        <v>334015.582408563</v>
      </c>
    </row>
    <row r="44" customFormat="false" ht="15" hidden="false" customHeight="false" outlineLevel="0" collapsed="false">
      <c r="B44" s="27" t="s">
        <v>114</v>
      </c>
      <c r="C44" s="34" t="n">
        <f aca="false">(M38+SUM(D25:M25))/(-C25)</f>
        <v>1.48451369959361</v>
      </c>
    </row>
    <row r="45" customFormat="false" ht="15" hidden="false" customHeight="false" outlineLevel="0" collapsed="false">
      <c r="B45" s="24" t="s">
        <v>115</v>
      </c>
      <c r="C45" s="35" t="n">
        <f aca="false">D25/(-C25)</f>
        <v>-0.111808224065174</v>
      </c>
    </row>
    <row r="46" customFormat="false" ht="15" hidden="false" customHeight="false" outlineLevel="0" collapsed="false">
      <c r="B46" s="24" t="s">
        <v>116</v>
      </c>
      <c r="C46" s="35" t="n">
        <f aca="false">D17/Assumptions!C6</f>
        <v>0.0324</v>
      </c>
    </row>
  </sheetData>
  <mergeCells count="1">
    <mergeCell ref="B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B2:G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6" min="3" style="0" width="18"/>
    <col collapsed="false" customWidth="true" hidden="false" outlineLevel="0" max="7" min="7" style="0" width="20"/>
  </cols>
  <sheetData>
    <row r="2" customFormat="false" ht="17.35" hidden="false" customHeight="false" outlineLevel="0" collapsed="false">
      <c r="B2" s="1" t="s">
        <v>117</v>
      </c>
      <c r="C2" s="1"/>
      <c r="D2" s="1"/>
      <c r="E2" s="1"/>
      <c r="F2" s="1"/>
      <c r="G2" s="1"/>
    </row>
    <row r="4" customFormat="false" ht="15" hidden="false" customHeight="false" outlineLevel="0" collapsed="false">
      <c r="B4" s="3" t="s">
        <v>118</v>
      </c>
      <c r="C4" s="3" t="s">
        <v>119</v>
      </c>
      <c r="D4" s="3" t="s">
        <v>120</v>
      </c>
      <c r="E4" s="3" t="s">
        <v>121</v>
      </c>
      <c r="F4" s="3" t="s">
        <v>122</v>
      </c>
      <c r="G4" s="3" t="s">
        <v>123</v>
      </c>
    </row>
    <row r="5" customFormat="false" ht="15" hidden="false" customHeight="false" outlineLevel="0" collapsed="false">
      <c r="B5" s="36" t="n">
        <v>1</v>
      </c>
      <c r="C5" s="28" t="n">
        <f aca="false">Assumptions!C9</f>
        <v>800000</v>
      </c>
      <c r="D5" s="28" t="n">
        <f aca="false">Assumptions!C20</f>
        <v>57556.8504146642</v>
      </c>
      <c r="E5" s="9" t="n">
        <f aca="false">-CUMIPMT(Assumptions!C17,Assumptions!C18,Assumptions!C9,(1-1)*12+1,1*12,0)</f>
        <v>47732.7567164505</v>
      </c>
      <c r="F5" s="9" t="n">
        <f aca="false">-CUMPRINC(Assumptions!C17,Assumptions!C18,Assumptions!C9,(1-1)*12+1,1*12,0)</f>
        <v>9824.09369821375</v>
      </c>
      <c r="G5" s="9" t="n">
        <f aca="false">C5-F5</f>
        <v>790175.906301786</v>
      </c>
    </row>
    <row r="6" customFormat="false" ht="15" hidden="false" customHeight="false" outlineLevel="0" collapsed="false">
      <c r="B6" s="37" t="n">
        <v>2</v>
      </c>
      <c r="C6" s="38" t="n">
        <f aca="false">G5</f>
        <v>790175.906301786</v>
      </c>
      <c r="D6" s="39" t="n">
        <f aca="false">Assumptions!C20</f>
        <v>57556.8504146642</v>
      </c>
      <c r="E6" s="38" t="n">
        <f aca="false">-CUMIPMT(Assumptions!C17,Assumptions!C18,Assumptions!C9,(2-1)*12+1,2*12,0)</f>
        <v>47126.8281135929</v>
      </c>
      <c r="F6" s="38" t="n">
        <f aca="false">-CUMPRINC(Assumptions!C17,Assumptions!C18,Assumptions!C9,(2-1)*12+1,2*12,0)</f>
        <v>10430.0223010714</v>
      </c>
      <c r="G6" s="38" t="n">
        <f aca="false">C6-F6</f>
        <v>779745.884000715</v>
      </c>
    </row>
    <row r="7" customFormat="false" ht="15" hidden="false" customHeight="false" outlineLevel="0" collapsed="false">
      <c r="B7" s="36" t="n">
        <v>3</v>
      </c>
      <c r="C7" s="9" t="n">
        <f aca="false">G6</f>
        <v>779745.884000715</v>
      </c>
      <c r="D7" s="28" t="n">
        <f aca="false">Assumptions!C20</f>
        <v>57556.8504146642</v>
      </c>
      <c r="E7" s="9" t="n">
        <f aca="false">-CUMIPMT(Assumptions!C17,Assumptions!C18,Assumptions!C9,(3-1)*12+1,3*12,0)</f>
        <v>46483.5271603649</v>
      </c>
      <c r="F7" s="9" t="n">
        <f aca="false">-CUMPRINC(Assumptions!C17,Assumptions!C18,Assumptions!C9,(3-1)*12+1,3*12,0)</f>
        <v>11073.3232542994</v>
      </c>
      <c r="G7" s="9" t="n">
        <f aca="false">C7-F7</f>
        <v>768672.560746415</v>
      </c>
    </row>
    <row r="8" customFormat="false" ht="15" hidden="false" customHeight="false" outlineLevel="0" collapsed="false">
      <c r="B8" s="37" t="n">
        <v>4</v>
      </c>
      <c r="C8" s="38" t="n">
        <f aca="false">G7</f>
        <v>768672.560746415</v>
      </c>
      <c r="D8" s="39" t="n">
        <f aca="false">Assumptions!C20</f>
        <v>57556.8504146642</v>
      </c>
      <c r="E8" s="38" t="n">
        <f aca="false">-CUMIPMT(Assumptions!C17,Assumptions!C18,Assumptions!C9,(4-1)*12+1,4*12,0)</f>
        <v>45800.5488119714</v>
      </c>
      <c r="F8" s="38" t="n">
        <f aca="false">-CUMPRINC(Assumptions!C17,Assumptions!C18,Assumptions!C9,(4-1)*12+1,4*12,0)</f>
        <v>11756.3016026928</v>
      </c>
      <c r="G8" s="38" t="n">
        <f aca="false">C8-F8</f>
        <v>756916.259143723</v>
      </c>
    </row>
    <row r="9" customFormat="false" ht="15" hidden="false" customHeight="false" outlineLevel="0" collapsed="false">
      <c r="B9" s="36" t="n">
        <v>5</v>
      </c>
      <c r="C9" s="9" t="n">
        <f aca="false">G8</f>
        <v>756916.259143723</v>
      </c>
      <c r="D9" s="28" t="n">
        <f aca="false">Assumptions!C20</f>
        <v>57556.8504146642</v>
      </c>
      <c r="E9" s="9" t="n">
        <f aca="false">-CUMIPMT(Assumptions!C17,Assumptions!C18,Assumptions!C9,(5-1)*12+1,5*12,0)</f>
        <v>45075.4458534982</v>
      </c>
      <c r="F9" s="9" t="n">
        <f aca="false">-CUMPRINC(Assumptions!C17,Assumptions!C18,Assumptions!C9,(5-1)*12+1,5*12,0)</f>
        <v>12481.404561166</v>
      </c>
      <c r="G9" s="9" t="n">
        <f aca="false">C9-F9</f>
        <v>744434.854582557</v>
      </c>
    </row>
    <row r="10" customFormat="false" ht="15" hidden="false" customHeight="false" outlineLevel="0" collapsed="false">
      <c r="B10" s="37" t="n">
        <v>6</v>
      </c>
      <c r="C10" s="38" t="n">
        <f aca="false">G9</f>
        <v>744434.854582557</v>
      </c>
      <c r="D10" s="39" t="n">
        <f aca="false">Assumptions!C20</f>
        <v>57556.8504146642</v>
      </c>
      <c r="E10" s="38" t="n">
        <f aca="false">-CUMIPMT(Assumptions!C17,Assumptions!C18,Assumptions!C9,(6-1)*12+1,6*12,0)</f>
        <v>44305.6201311699</v>
      </c>
      <c r="F10" s="38" t="n">
        <f aca="false">-CUMPRINC(Assumptions!C17,Assumptions!C18,Assumptions!C9,(6-1)*12+1,6*12,0)</f>
        <v>13251.2302834943</v>
      </c>
      <c r="G10" s="38" t="n">
        <f aca="false">C10-F10</f>
        <v>731183.624299062</v>
      </c>
    </row>
    <row r="11" customFormat="false" ht="15" hidden="false" customHeight="false" outlineLevel="0" collapsed="false">
      <c r="B11" s="36" t="n">
        <v>7</v>
      </c>
      <c r="C11" s="9" t="n">
        <f aca="false">G10</f>
        <v>731183.624299062</v>
      </c>
      <c r="D11" s="28" t="n">
        <f aca="false">Assumptions!C20</f>
        <v>57556.8504146642</v>
      </c>
      <c r="E11" s="9" t="n">
        <f aca="false">-CUMIPMT(Assumptions!C17,Assumptions!C18,Assumptions!C9,(7-1)*12+1,7*12,0)</f>
        <v>43488.3132427714</v>
      </c>
      <c r="F11" s="9" t="n">
        <f aca="false">-CUMPRINC(Assumptions!C17,Assumptions!C18,Assumptions!C9,(7-1)*12+1,7*12,0)</f>
        <v>14068.5371718928</v>
      </c>
      <c r="G11" s="9" t="n">
        <f aca="false">C11-F11</f>
        <v>717115.087127169</v>
      </c>
    </row>
    <row r="12" customFormat="false" ht="15" hidden="false" customHeight="false" outlineLevel="0" collapsed="false">
      <c r="B12" s="37" t="n">
        <v>8</v>
      </c>
      <c r="C12" s="38" t="n">
        <f aca="false">G11</f>
        <v>717115.087127169</v>
      </c>
      <c r="D12" s="39" t="n">
        <f aca="false">Assumptions!C20</f>
        <v>57556.8504146642</v>
      </c>
      <c r="E12" s="38" t="n">
        <f aca="false">-CUMIPMT(Assumptions!C17,Assumptions!C18,Assumptions!C9,(8-1)*12+1,8*12,0)</f>
        <v>42620.5966538747</v>
      </c>
      <c r="F12" s="38" t="n">
        <f aca="false">-CUMPRINC(Assumptions!C17,Assumptions!C18,Assumptions!C9,(8-1)*12+1,8*12,0)</f>
        <v>14936.2537607895</v>
      </c>
      <c r="G12" s="38" t="n">
        <f aca="false">C12-F12</f>
        <v>702178.83336638</v>
      </c>
    </row>
    <row r="13" customFormat="false" ht="15" hidden="false" customHeight="false" outlineLevel="0" collapsed="false">
      <c r="B13" s="36" t="n">
        <v>9</v>
      </c>
      <c r="C13" s="9" t="n">
        <f aca="false">G12</f>
        <v>702178.83336638</v>
      </c>
      <c r="D13" s="28" t="n">
        <f aca="false">Assumptions!C20</f>
        <v>57556.8504146642</v>
      </c>
      <c r="E13" s="9" t="n">
        <f aca="false">-CUMIPMT(Assumptions!C17,Assumptions!C18,Assumptions!C9,(9-1)*12+1,9*12,0)</f>
        <v>41699.3612044563</v>
      </c>
      <c r="F13" s="9" t="n">
        <f aca="false">-CUMPRINC(Assumptions!C17,Assumptions!C18,Assumptions!C9,(9-1)*12+1,9*12,0)</f>
        <v>15857.4892102079</v>
      </c>
      <c r="G13" s="9" t="n">
        <f aca="false">C13-F13</f>
        <v>686321.344156172</v>
      </c>
    </row>
    <row r="14" customFormat="false" ht="15" hidden="false" customHeight="false" outlineLevel="0" collapsed="false">
      <c r="B14" s="37" t="n">
        <v>10</v>
      </c>
      <c r="C14" s="38" t="n">
        <f aca="false">G13</f>
        <v>686321.344156172</v>
      </c>
      <c r="D14" s="39" t="n">
        <f aca="false">Assumptions!C20</f>
        <v>57556.8504146642</v>
      </c>
      <c r="E14" s="38" t="n">
        <f aca="false">-CUMIPMT(Assumptions!C17,Assumptions!C18,Assumptions!C9,(10-1)*12+1,10*12,0)</f>
        <v>40721.3059683058</v>
      </c>
      <c r="F14" s="38" t="n">
        <f aca="false">-CUMPRINC(Assumptions!C17,Assumptions!C18,Assumptions!C9,(10-1)*12+1,10*12,0)</f>
        <v>16835.5444463584</v>
      </c>
      <c r="G14" s="38" t="n">
        <f aca="false">C14-F14</f>
        <v>669485.799709813</v>
      </c>
    </row>
    <row r="15" customFormat="false" ht="15" hidden="false" customHeight="false" outlineLevel="0" collapsed="false">
      <c r="B15" s="36" t="n">
        <v>11</v>
      </c>
      <c r="C15" s="9" t="n">
        <f aca="false">G14</f>
        <v>669485.799709813</v>
      </c>
      <c r="D15" s="28" t="n">
        <f aca="false">Assumptions!C20</f>
        <v>57556.8504146642</v>
      </c>
      <c r="E15" s="9" t="n">
        <f aca="false">-CUMIPMT(Assumptions!C17,Assumptions!C18,Assumptions!C9,(11-1)*12+1,11*12,0)</f>
        <v>39682.9264253069</v>
      </c>
      <c r="F15" s="9" t="n">
        <f aca="false">-CUMPRINC(Assumptions!C17,Assumptions!C18,Assumptions!C9,(11-1)*12+1,11*12,0)</f>
        <v>17873.9239893573</v>
      </c>
      <c r="G15" s="9" t="n">
        <f aca="false">C15-F15</f>
        <v>651611.875720456</v>
      </c>
    </row>
    <row r="16" customFormat="false" ht="15" hidden="false" customHeight="false" outlineLevel="0" collapsed="false">
      <c r="B16" s="37" t="n">
        <v>12</v>
      </c>
      <c r="C16" s="38" t="n">
        <f aca="false">G15</f>
        <v>651611.875720456</v>
      </c>
      <c r="D16" s="39" t="n">
        <f aca="false">Assumptions!C20</f>
        <v>57556.8504146642</v>
      </c>
      <c r="E16" s="38" t="n">
        <f aca="false">-CUMIPMT(Assumptions!C17,Assumptions!C18,Assumptions!C9,(12-1)*12+1,12*12,0)</f>
        <v>38580.501904211</v>
      </c>
      <c r="F16" s="38" t="n">
        <f aca="false">-CUMPRINC(Assumptions!C17,Assumptions!C18,Assumptions!C9,(12-1)*12+1,12*12,0)</f>
        <v>18976.3485104532</v>
      </c>
      <c r="G16" s="38" t="n">
        <f aca="false">C16-F16</f>
        <v>632635.527210003</v>
      </c>
    </row>
    <row r="17" customFormat="false" ht="15" hidden="false" customHeight="false" outlineLevel="0" collapsed="false">
      <c r="B17" s="36" t="n">
        <v>13</v>
      </c>
      <c r="C17" s="9" t="n">
        <f aca="false">G16</f>
        <v>632635.527210003</v>
      </c>
      <c r="D17" s="28" t="n">
        <f aca="false">Assumptions!C20</f>
        <v>57556.8504146642</v>
      </c>
      <c r="E17" s="9" t="n">
        <f aca="false">-CUMIPMT(Assumptions!C17,Assumptions!C18,Assumptions!C9,(13-1)*12+1,13*12,0)</f>
        <v>37410.0822509081</v>
      </c>
      <c r="F17" s="9" t="n">
        <f aca="false">-CUMPRINC(Assumptions!C17,Assumptions!C18,Assumptions!C9,(13-1)*12+1,13*12,0)</f>
        <v>20146.7681637561</v>
      </c>
      <c r="G17" s="9" t="n">
        <f aca="false">C17-F17</f>
        <v>612488.759046247</v>
      </c>
    </row>
    <row r="18" customFormat="false" ht="15" hidden="false" customHeight="false" outlineLevel="0" collapsed="false">
      <c r="B18" s="37" t="n">
        <v>14</v>
      </c>
      <c r="C18" s="38" t="n">
        <f aca="false">G17</f>
        <v>612488.759046247</v>
      </c>
      <c r="D18" s="39" t="n">
        <f aca="false">Assumptions!C20</f>
        <v>57556.8504146642</v>
      </c>
      <c r="E18" s="38" t="n">
        <f aca="false">-CUMIPMT(Assumptions!C17,Assumptions!C18,Assumptions!C9,(14-1)*12+1,14*12,0)</f>
        <v>36167.4736744263</v>
      </c>
      <c r="F18" s="38" t="n">
        <f aca="false">-CUMPRINC(Assumptions!C17,Assumptions!C18,Assumptions!C9,(14-1)*12+1,14*12,0)</f>
        <v>21389.3767402379</v>
      </c>
      <c r="G18" s="38" t="n">
        <f aca="false">C18-F18</f>
        <v>591099.382306009</v>
      </c>
    </row>
    <row r="19" customFormat="false" ht="15" hidden="false" customHeight="false" outlineLevel="0" collapsed="false">
      <c r="B19" s="36" t="n">
        <v>15</v>
      </c>
      <c r="C19" s="9" t="n">
        <f aca="false">G18</f>
        <v>591099.382306009</v>
      </c>
      <c r="D19" s="28" t="n">
        <f aca="false">Assumptions!C20</f>
        <v>57556.8504146642</v>
      </c>
      <c r="E19" s="9" t="n">
        <f aca="false">-CUMIPMT(Assumptions!C17,Assumptions!C18,Assumptions!C9,(15-1)*12+1,15*12,0)</f>
        <v>34848.223719943</v>
      </c>
      <c r="F19" s="9" t="n">
        <f aca="false">-CUMPRINC(Assumptions!C17,Assumptions!C18,Assumptions!C9,(15-1)*12+1,15*12,0)</f>
        <v>22708.6266947212</v>
      </c>
      <c r="G19" s="9" t="n">
        <f aca="false">C19-F19</f>
        <v>568390.755611288</v>
      </c>
    </row>
    <row r="20" customFormat="false" ht="15" hidden="false" customHeight="false" outlineLevel="0" collapsed="false">
      <c r="B20" s="37" t="n">
        <v>16</v>
      </c>
      <c r="C20" s="38" t="n">
        <f aca="false">G19</f>
        <v>568390.755611288</v>
      </c>
      <c r="D20" s="39" t="n">
        <f aca="false">Assumptions!C20</f>
        <v>57556.8504146642</v>
      </c>
      <c r="E20" s="38" t="n">
        <f aca="false">-CUMIPMT(Assumptions!C17,Assumptions!C18,Assumptions!C9,(16-1)*12+1,16*12,0)</f>
        <v>33447.6053149649</v>
      </c>
      <c r="F20" s="38" t="n">
        <f aca="false">-CUMPRINC(Assumptions!C17,Assumptions!C18,Assumptions!C9,(16-1)*12+1,16*12,0)</f>
        <v>24109.2450996993</v>
      </c>
      <c r="G20" s="38" t="n">
        <f aca="false">C20-F20</f>
        <v>544281.510511588</v>
      </c>
    </row>
    <row r="21" customFormat="false" ht="15" hidden="false" customHeight="false" outlineLevel="0" collapsed="false">
      <c r="B21" s="36" t="n">
        <v>17</v>
      </c>
      <c r="C21" s="9" t="n">
        <f aca="false">G20</f>
        <v>544281.510511588</v>
      </c>
      <c r="D21" s="28" t="n">
        <f aca="false">Assumptions!C20</f>
        <v>57556.8504146642</v>
      </c>
      <c r="E21" s="9" t="n">
        <f aca="false">-CUMIPMT(Assumptions!C17,Assumptions!C18,Assumptions!C9,(17-1)*12+1,17*12,0)</f>
        <v>31960.5998315106</v>
      </c>
      <c r="F21" s="9" t="n">
        <f aca="false">-CUMPRINC(Assumptions!C17,Assumptions!C18,Assumptions!C9,(17-1)*12+1,17*12,0)</f>
        <v>25596.2505831537</v>
      </c>
      <c r="G21" s="9" t="n">
        <f aca="false">C21-F21</f>
        <v>518685.259928435</v>
      </c>
    </row>
    <row r="22" customFormat="false" ht="15" hidden="false" customHeight="false" outlineLevel="0" collapsed="false">
      <c r="B22" s="37" t="n">
        <v>18</v>
      </c>
      <c r="C22" s="38" t="n">
        <f aca="false">G21</f>
        <v>518685.259928435</v>
      </c>
      <c r="D22" s="39" t="n">
        <f aca="false">Assumptions!C20</f>
        <v>57556.8504146642</v>
      </c>
      <c r="E22" s="38" t="n">
        <f aca="false">-CUMIPMT(Assumptions!C17,Assumptions!C18,Assumptions!C9,(18-1)*12+1,18*12,0)</f>
        <v>30381.8791036063</v>
      </c>
      <c r="F22" s="38" t="n">
        <f aca="false">-CUMPRINC(Assumptions!C17,Assumptions!C18,Assumptions!C9,(18-1)*12+1,18*12,0)</f>
        <v>27174.971311058</v>
      </c>
      <c r="G22" s="38" t="n">
        <f aca="false">C22-F22</f>
        <v>491510.288617377</v>
      </c>
    </row>
    <row r="23" customFormat="false" ht="15" hidden="false" customHeight="false" outlineLevel="0" collapsed="false">
      <c r="B23" s="36" t="n">
        <v>19</v>
      </c>
      <c r="C23" s="9" t="n">
        <f aca="false">G22</f>
        <v>491510.288617377</v>
      </c>
      <c r="D23" s="28" t="n">
        <f aca="false">Assumptions!C20</f>
        <v>57556.8504146642</v>
      </c>
      <c r="E23" s="9" t="n">
        <f aca="false">-CUMIPMT(Assumptions!C17,Assumptions!C18,Assumptions!C9,(19-1)*12+1,19*12,0)</f>
        <v>28705.7863356597</v>
      </c>
      <c r="F23" s="9" t="n">
        <f aca="false">-CUMPRINC(Assumptions!C17,Assumptions!C18,Assumptions!C9,(19-1)*12+1,19*12,0)</f>
        <v>28851.0640790045</v>
      </c>
      <c r="G23" s="9" t="n">
        <f aca="false">C23-F23</f>
        <v>462659.224538372</v>
      </c>
    </row>
    <row r="24" customFormat="false" ht="15" hidden="false" customHeight="false" outlineLevel="0" collapsed="false">
      <c r="B24" s="37" t="n">
        <v>20</v>
      </c>
      <c r="C24" s="38" t="n">
        <f aca="false">G23</f>
        <v>462659.224538372</v>
      </c>
      <c r="D24" s="39" t="n">
        <f aca="false">Assumptions!C20</f>
        <v>57556.8504146642</v>
      </c>
      <c r="E24" s="38" t="n">
        <f aca="false">-CUMIPMT(Assumptions!C17,Assumptions!C18,Assumptions!C9,(20-1)*12+1,20*12,0)</f>
        <v>26926.3158333043</v>
      </c>
      <c r="F24" s="38" t="n">
        <f aca="false">-CUMPRINC(Assumptions!C17,Assumptions!C18,Assumptions!C9,(20-1)*12+1,20*12,0)</f>
        <v>30630.53458136</v>
      </c>
      <c r="G24" s="38" t="n">
        <f aca="false">C24-F24</f>
        <v>432028.689957012</v>
      </c>
    </row>
    <row r="25" customFormat="false" ht="15" hidden="false" customHeight="false" outlineLevel="0" collapsed="false">
      <c r="B25" s="36" t="n">
        <v>21</v>
      </c>
      <c r="C25" s="9" t="n">
        <f aca="false">G24</f>
        <v>432028.689957012</v>
      </c>
      <c r="D25" s="28" t="n">
        <f aca="false">Assumptions!C20</f>
        <v>57556.8504146642</v>
      </c>
      <c r="E25" s="9" t="n">
        <f aca="false">-CUMIPMT(Assumptions!C17,Assumptions!C18,Assumptions!C9,(21-1)*12+1,21*12,0)</f>
        <v>25037.0914840862</v>
      </c>
      <c r="F25" s="9" t="n">
        <f aca="false">-CUMPRINC(Assumptions!C17,Assumptions!C18,Assumptions!C9,(21-1)*12+1,21*12,0)</f>
        <v>32519.7589305781</v>
      </c>
      <c r="G25" s="9" t="n">
        <f aca="false">C25-F25</f>
        <v>399508.931026434</v>
      </c>
    </row>
    <row r="26" customFormat="false" ht="15" hidden="false" customHeight="false" outlineLevel="0" collapsed="false">
      <c r="B26" s="37" t="n">
        <v>22</v>
      </c>
      <c r="C26" s="38" t="n">
        <f aca="false">G25</f>
        <v>399508.931026434</v>
      </c>
      <c r="D26" s="39" t="n">
        <f aca="false">Assumptions!C20</f>
        <v>57556.8504146642</v>
      </c>
      <c r="E26" s="38" t="n">
        <f aca="false">-CUMIPMT(Assumptions!C17,Assumptions!C18,Assumptions!C9,(22-1)*12+1,22*12,0)</f>
        <v>23031.3439108871</v>
      </c>
      <c r="F26" s="38" t="n">
        <f aca="false">-CUMPRINC(Assumptions!C17,Assumptions!C18,Assumptions!C9,(22-1)*12+1,22*12,0)</f>
        <v>34525.5065037771</v>
      </c>
      <c r="G26" s="38" t="n">
        <f aca="false">C26-F26</f>
        <v>364983.424522657</v>
      </c>
    </row>
    <row r="27" customFormat="false" ht="15" hidden="false" customHeight="false" outlineLevel="0" collapsed="false">
      <c r="B27" s="36" t="n">
        <v>23</v>
      </c>
      <c r="C27" s="9" t="n">
        <f aca="false">G26</f>
        <v>364983.424522657</v>
      </c>
      <c r="D27" s="28" t="n">
        <f aca="false">Assumptions!C20</f>
        <v>57556.8504146642</v>
      </c>
      <c r="E27" s="9" t="n">
        <f aca="false">-CUMIPMT(Assumptions!C17,Assumptions!C18,Assumptions!C9,(23-1)*12+1,23*12,0)</f>
        <v>20901.8862162207</v>
      </c>
      <c r="F27" s="9" t="n">
        <f aca="false">-CUMPRINC(Assumptions!C17,Assumptions!C18,Assumptions!C9,(23-1)*12+1,23*12,0)</f>
        <v>36654.9641984436</v>
      </c>
      <c r="G27" s="9" t="n">
        <f aca="false">C27-F27</f>
        <v>328328.460324213</v>
      </c>
    </row>
    <row r="28" customFormat="false" ht="15" hidden="false" customHeight="false" outlineLevel="0" collapsed="false">
      <c r="B28" s="37" t="n">
        <v>24</v>
      </c>
      <c r="C28" s="38" t="n">
        <f aca="false">G27</f>
        <v>328328.460324213</v>
      </c>
      <c r="D28" s="39" t="n">
        <f aca="false">Assumptions!C20</f>
        <v>57556.8504146642</v>
      </c>
      <c r="E28" s="38" t="n">
        <f aca="false">-CUMIPMT(Assumptions!C17,Assumptions!C18,Assumptions!C9,(24-1)*12+1,24*12,0)</f>
        <v>18641.0882304891</v>
      </c>
      <c r="F28" s="38" t="n">
        <f aca="false">-CUMPRINC(Assumptions!C17,Assumptions!C18,Assumptions!C9,(24-1)*12+1,24*12,0)</f>
        <v>38915.7621841751</v>
      </c>
      <c r="G28" s="38" t="n">
        <f aca="false">C28-F28</f>
        <v>289412.698140038</v>
      </c>
    </row>
    <row r="29" customFormat="false" ht="15" hidden="false" customHeight="false" outlineLevel="0" collapsed="false">
      <c r="B29" s="36" t="n">
        <v>25</v>
      </c>
      <c r="C29" s="9" t="n">
        <f aca="false">G28</f>
        <v>289412.698140038</v>
      </c>
      <c r="D29" s="28" t="n">
        <f aca="false">Assumptions!C20</f>
        <v>57556.8504146642</v>
      </c>
      <c r="E29" s="9" t="n">
        <f aca="false">-CUMIPMT(Assumptions!C17,Assumptions!C18,Assumptions!C9,(25-1)*12+1,25*12,0)</f>
        <v>16240.84917193</v>
      </c>
      <c r="F29" s="9" t="n">
        <f aca="false">-CUMPRINC(Assumptions!C17,Assumptions!C18,Assumptions!C9,(25-1)*12+1,25*12,0)</f>
        <v>41316.0012427342</v>
      </c>
      <c r="G29" s="9" t="n">
        <f aca="false">C29-F29</f>
        <v>248096.696897304</v>
      </c>
    </row>
    <row r="30" customFormat="false" ht="15" hidden="false" customHeight="false" outlineLevel="0" collapsed="false">
      <c r="B30" s="37" t="n">
        <v>26</v>
      </c>
      <c r="C30" s="38" t="n">
        <f aca="false">G29</f>
        <v>248096.696897304</v>
      </c>
      <c r="D30" s="39" t="n">
        <f aca="false">Assumptions!C20</f>
        <v>57556.8504146642</v>
      </c>
      <c r="E30" s="38" t="n">
        <f aca="false">-CUMIPMT(Assumptions!C17,Assumptions!C18,Assumptions!C9,(26-1)*12+1,26*12,0)</f>
        <v>13692.5686202873</v>
      </c>
      <c r="F30" s="38" t="n">
        <f aca="false">-CUMPRINC(Assumptions!C17,Assumptions!C18,Assumptions!C9,(26-1)*12+1,26*12,0)</f>
        <v>43864.2817943769</v>
      </c>
      <c r="G30" s="38" t="n">
        <f aca="false">C30-F30</f>
        <v>204232.415102927</v>
      </c>
    </row>
    <row r="31" customFormat="false" ht="15" hidden="false" customHeight="false" outlineLevel="0" collapsed="false">
      <c r="B31" s="36" t="n">
        <v>27</v>
      </c>
      <c r="C31" s="9" t="n">
        <f aca="false">G30</f>
        <v>204232.415102927</v>
      </c>
      <c r="D31" s="28" t="n">
        <f aca="false">Assumptions!C20</f>
        <v>57556.8504146642</v>
      </c>
      <c r="E31" s="9" t="n">
        <f aca="false">-CUMIPMT(Assumptions!C17,Assumptions!C18,Assumptions!C9,(27-1)*12+1,27*12,0)</f>
        <v>10987.1157002024</v>
      </c>
      <c r="F31" s="9" t="n">
        <f aca="false">-CUMPRINC(Assumptions!C17,Assumptions!C18,Assumptions!C9,(27-1)*12+1,27*12,0)</f>
        <v>46569.7347144619</v>
      </c>
      <c r="G31" s="9" t="n">
        <f aca="false">C31-F31</f>
        <v>157662.680388465</v>
      </c>
    </row>
    <row r="32" customFormat="false" ht="15" hidden="false" customHeight="false" outlineLevel="0" collapsed="false">
      <c r="B32" s="37" t="n">
        <v>28</v>
      </c>
      <c r="C32" s="38" t="n">
        <f aca="false">G31</f>
        <v>157662.680388465</v>
      </c>
      <c r="D32" s="39" t="n">
        <f aca="false">Assumptions!C20</f>
        <v>57556.8504146642</v>
      </c>
      <c r="E32" s="38" t="n">
        <f aca="false">-CUMIPMT(Assumptions!C17,Assumptions!C18,Assumptions!C9,(28-1)*12+1,28*12,0)</f>
        <v>8114.79636390421</v>
      </c>
      <c r="F32" s="38" t="n">
        <f aca="false">-CUMPRINC(Assumptions!C17,Assumptions!C18,Assumptions!C9,(28-1)*12+1,28*12,0)</f>
        <v>49442.05405076</v>
      </c>
      <c r="G32" s="38" t="n">
        <f aca="false">C32-F32</f>
        <v>108220.626337705</v>
      </c>
    </row>
    <row r="33" customFormat="false" ht="15" hidden="false" customHeight="false" outlineLevel="0" collapsed="false">
      <c r="B33" s="36" t="n">
        <v>29</v>
      </c>
      <c r="C33" s="9" t="n">
        <f aca="false">G32</f>
        <v>108220.626337705</v>
      </c>
      <c r="D33" s="28" t="n">
        <f aca="false">Assumptions!C20</f>
        <v>57556.8504146642</v>
      </c>
      <c r="E33" s="9" t="n">
        <f aca="false">-CUMIPMT(Assumptions!C17,Assumptions!C18,Assumptions!C9,(29-1)*12+1,29*12,0)</f>
        <v>5065.31865596707</v>
      </c>
      <c r="F33" s="9" t="n">
        <f aca="false">-CUMPRINC(Assumptions!C17,Assumptions!C18,Assumptions!C9,(29-1)*12+1,29*12,0)</f>
        <v>52491.5317586972</v>
      </c>
      <c r="G33" s="9" t="n">
        <f aca="false">C33-F33</f>
        <v>55729.0945790082</v>
      </c>
    </row>
    <row r="34" customFormat="false" ht="15" hidden="false" customHeight="false" outlineLevel="0" collapsed="false">
      <c r="B34" s="37" t="n">
        <v>30</v>
      </c>
      <c r="C34" s="38" t="n">
        <f aca="false">G33</f>
        <v>55729.0945790082</v>
      </c>
      <c r="D34" s="39" t="n">
        <f aca="false">Assumptions!C20</f>
        <v>57556.8504146642</v>
      </c>
      <c r="E34" s="38" t="n">
        <f aca="false">-CUMIPMT(Assumptions!C17,Assumptions!C18,Assumptions!C9,(30-1)*12+1,30*12,0)</f>
        <v>1827.75583567482</v>
      </c>
      <c r="F34" s="38" t="n">
        <f aca="false">-CUMPRINC(Assumptions!C17,Assumptions!C18,Assumptions!C9,(30-1)*12+1,30*12,0)</f>
        <v>55729.0945789894</v>
      </c>
      <c r="G34" s="38" t="n">
        <f aca="false">C34-F34</f>
        <v>1.87355908565223E-008</v>
      </c>
    </row>
    <row r="35" customFormat="false" ht="15" hidden="false" customHeight="false" outlineLevel="0" collapsed="false">
      <c r="B35" s="40" t="s">
        <v>124</v>
      </c>
      <c r="C35" s="41"/>
      <c r="D35" s="42" t="n">
        <f aca="false">SUM(D5:D34)</f>
        <v>1726705.51243993</v>
      </c>
      <c r="E35" s="42" t="n">
        <f aca="false">SUM(E5:E34)</f>
        <v>926705.512439946</v>
      </c>
      <c r="F35" s="42" t="n">
        <f aca="false">SUM(F5:F34)</f>
        <v>799999.999999981</v>
      </c>
      <c r="G35" s="41"/>
    </row>
  </sheetData>
  <mergeCells count="1">
    <mergeCell ref="B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B2: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5" min="3" style="0" width="18"/>
  </cols>
  <sheetData>
    <row r="2" customFormat="false" ht="17.35" hidden="false" customHeight="false" outlineLevel="0" collapsed="false">
      <c r="B2" s="1" t="s">
        <v>125</v>
      </c>
      <c r="C2" s="1"/>
      <c r="D2" s="1"/>
      <c r="E2" s="1"/>
    </row>
    <row r="4" customFormat="false" ht="15" hidden="false" customHeight="false" outlineLevel="0" collapsed="false">
      <c r="B4" s="3" t="s">
        <v>126</v>
      </c>
      <c r="C4" s="43" t="s">
        <v>127</v>
      </c>
      <c r="D4" s="44" t="s">
        <v>128</v>
      </c>
      <c r="E4" s="45" t="s">
        <v>129</v>
      </c>
    </row>
    <row r="5" customFormat="false" ht="15" hidden="false" customHeight="false" outlineLevel="0" collapsed="false">
      <c r="B5" s="46" t="s">
        <v>130</v>
      </c>
      <c r="C5" s="47" t="n">
        <f aca="false">Assumptions!C31</f>
        <v>0.005</v>
      </c>
      <c r="D5" s="48" t="n">
        <f aca="false">Assumptions!C29</f>
        <v>0.025</v>
      </c>
      <c r="E5" s="49" t="n">
        <f aca="false">Assumptions!C30</f>
        <v>0.04</v>
      </c>
    </row>
    <row r="6" customFormat="false" ht="15" hidden="false" customHeight="false" outlineLevel="0" collapsed="false">
      <c r="B6" s="46" t="s">
        <v>131</v>
      </c>
      <c r="C6" s="50" t="n">
        <f aca="false">Assumptions!C6*(1+Assumptions!C31)^10</f>
        <v>1051140.13204079</v>
      </c>
      <c r="D6" s="51" t="n">
        <f aca="false">Assumptions!C6*(1+Assumptions!C29)^10</f>
        <v>1280084.54419636</v>
      </c>
      <c r="E6" s="52" t="n">
        <f aca="false">Assumptions!C6*(1+Assumptions!C30)^10</f>
        <v>1480244.28491834</v>
      </c>
    </row>
    <row r="7" customFormat="false" ht="15" hidden="false" customHeight="false" outlineLevel="0" collapsed="false">
      <c r="B7" s="46" t="s">
        <v>132</v>
      </c>
      <c r="C7" s="50" t="n">
        <f aca="false">C6-Assumptions!C6</f>
        <v>51140.1320407896</v>
      </c>
      <c r="D7" s="51" t="n">
        <f aca="false">D6-Assumptions!C6</f>
        <v>280084.544196357</v>
      </c>
      <c r="E7" s="52" t="n">
        <f aca="false">E6-Assumptions!C6</f>
        <v>480244.284918344</v>
      </c>
    </row>
    <row r="8" customFormat="false" ht="15" hidden="false" customHeight="false" outlineLevel="0" collapsed="false">
      <c r="B8" s="46" t="s">
        <v>133</v>
      </c>
      <c r="C8" s="50" t="n">
        <f aca="false">Amortization!G14</f>
        <v>669485.799709813</v>
      </c>
      <c r="D8" s="51" t="n">
        <f aca="false">Amortization!G14</f>
        <v>669485.799709813</v>
      </c>
      <c r="E8" s="52" t="n">
        <f aca="false">Amortization!G14</f>
        <v>669485.799709813</v>
      </c>
    </row>
    <row r="9" customFormat="false" ht="15" hidden="false" customHeight="false" outlineLevel="0" collapsed="false">
      <c r="B9" s="46" t="s">
        <v>134</v>
      </c>
      <c r="C9" s="50" t="n">
        <f aca="false">C6-C8</f>
        <v>381654.332330976</v>
      </c>
      <c r="D9" s="51" t="n">
        <f aca="false">D6-D8</f>
        <v>610598.744486543</v>
      </c>
      <c r="E9" s="52" t="n">
        <f aca="false">E6-E8</f>
        <v>810758.485208531</v>
      </c>
    </row>
    <row r="10" customFormat="false" ht="15" hidden="false" customHeight="false" outlineLevel="0" collapsed="false">
      <c r="B10" s="46" t="s">
        <v>135</v>
      </c>
      <c r="C10" s="53" t="n">
        <f aca="false">-C6*Assumptions!C35</f>
        <v>-52557.0066020395</v>
      </c>
      <c r="D10" s="54" t="n">
        <f aca="false">-D6*Assumptions!C35</f>
        <v>-64004.2272098178</v>
      </c>
      <c r="E10" s="55" t="n">
        <f aca="false">-E6*Assumptions!C35</f>
        <v>-74012.2142459172</v>
      </c>
    </row>
    <row r="11" customFormat="false" ht="15" hidden="false" customHeight="false" outlineLevel="0" collapsed="false">
      <c r="B11" s="46" t="s">
        <v>109</v>
      </c>
      <c r="C11" s="50" t="n">
        <f aca="false">C6+C10-C8</f>
        <v>329097.325728937</v>
      </c>
      <c r="D11" s="51" t="n">
        <f aca="false">D6+D10-D8</f>
        <v>546594.517276725</v>
      </c>
      <c r="E11" s="52" t="n">
        <f aca="false">E6+E10-E8</f>
        <v>736746.270962614</v>
      </c>
    </row>
    <row r="12" customFormat="false" ht="15" hidden="false" customHeight="false" outlineLevel="0" collapsed="false">
      <c r="B12" s="46" t="s">
        <v>136</v>
      </c>
      <c r="C12" s="53" t="n">
        <f aca="false">'10-Year Model'!M26</f>
        <v>-437578.934868163</v>
      </c>
      <c r="D12" s="54" t="n">
        <f aca="false">'10-Year Model'!M26</f>
        <v>-437578.934868163</v>
      </c>
      <c r="E12" s="55" t="n">
        <f aca="false">'10-Year Model'!M26</f>
        <v>-437578.934868163</v>
      </c>
    </row>
    <row r="13" customFormat="false" ht="15" hidden="false" customHeight="false" outlineLevel="0" collapsed="false">
      <c r="B13" s="46" t="s">
        <v>113</v>
      </c>
      <c r="C13" s="50" t="n">
        <f aca="false">C11+C12+Assumptions!C12</f>
        <v>116518.390860774</v>
      </c>
      <c r="D13" s="51" t="n">
        <f aca="false">D11+D12+Assumptions!C12</f>
        <v>334015.582408563</v>
      </c>
      <c r="E13" s="52" t="n">
        <f aca="false">E11+E12+Assumptions!C12</f>
        <v>524167.336094451</v>
      </c>
    </row>
    <row r="14" customFormat="false" ht="15" hidden="false" customHeight="false" outlineLevel="0" collapsed="false">
      <c r="B14" s="46" t="s">
        <v>114</v>
      </c>
      <c r="C14" s="56" t="n">
        <f aca="false">(C11+'10-Year Model'!M26+SUM('10-Year Model'!D25:L25))/Assumptions!C12</f>
        <v>-1.35096379475124</v>
      </c>
      <c r="D14" s="57" t="n">
        <f aca="false">(D11+'10-Year Model'!M26+SUM('10-Year Model'!D25:L25))/Assumptions!C12</f>
        <v>-0.384309610094401</v>
      </c>
      <c r="E14" s="58" t="n">
        <f aca="false">(E11+'10-Year Model'!M26+SUM('10-Year Model'!D25:L25))/Assumptions!C12</f>
        <v>0.460809295176214</v>
      </c>
    </row>
  </sheetData>
  <mergeCells count="1">
    <mergeCell ref="B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504D"/>
    <pageSetUpPr fitToPage="false"/>
  </sheetPr>
  <dimension ref="B2:J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9" min="3" style="0" width="16"/>
  </cols>
  <sheetData>
    <row r="2" customFormat="false" ht="17.35" hidden="false" customHeight="false" outlineLevel="0" collapsed="false">
      <c r="B2" s="1" t="s">
        <v>137</v>
      </c>
      <c r="C2" s="1"/>
      <c r="D2" s="1"/>
      <c r="E2" s="1"/>
      <c r="F2" s="1"/>
      <c r="G2" s="1"/>
      <c r="H2" s="1"/>
      <c r="I2" s="1"/>
    </row>
    <row r="4" customFormat="false" ht="15" hidden="false" customHeight="false" outlineLevel="0" collapsed="false">
      <c r="B4" s="59" t="s">
        <v>138</v>
      </c>
      <c r="C4" s="59"/>
      <c r="D4" s="59"/>
      <c r="E4" s="59"/>
      <c r="F4" s="59"/>
      <c r="G4" s="59"/>
      <c r="H4" s="59"/>
      <c r="I4" s="59"/>
      <c r="J4" s="59"/>
    </row>
    <row r="5" customFormat="false" ht="15" hidden="false" customHeight="false" outlineLevel="0" collapsed="false">
      <c r="B5" s="3" t="s">
        <v>139</v>
      </c>
      <c r="C5" s="3" t="s">
        <v>140</v>
      </c>
      <c r="D5" s="3" t="s">
        <v>141</v>
      </c>
      <c r="E5" s="3" t="s">
        <v>142</v>
      </c>
      <c r="F5" s="3" t="s">
        <v>143</v>
      </c>
      <c r="G5" s="3" t="s">
        <v>144</v>
      </c>
      <c r="H5" s="3" t="s">
        <v>145</v>
      </c>
      <c r="I5" s="3" t="s">
        <v>146</v>
      </c>
      <c r="J5" s="3" t="s">
        <v>147</v>
      </c>
    </row>
    <row r="6" customFormat="false" ht="15" hidden="false" customHeight="false" outlineLevel="0" collapsed="false">
      <c r="B6" s="60" t="n">
        <v>0.05</v>
      </c>
      <c r="C6" s="9" t="n">
        <f aca="false">Assumptions!C6*(1+-0.005)^10-FV(0.05/12,120,PMT(0.05/12,360,Assumptions!C9),-Assumptions!C9)</f>
        <v>-1033368.54990283</v>
      </c>
      <c r="D6" s="9" t="n">
        <f aca="false">Assumptions!C6*(1+0)^10-FV(0.05/12,120,PMT(0.05/12,360,Assumptions!C9),-Assumptions!C9)</f>
        <v>-984478.680368605</v>
      </c>
      <c r="E6" s="9" t="n">
        <f aca="false">Assumptions!C6*(1+0.005)^10-FV(0.05/12,120,PMT(0.05/12,360,Assumptions!C9),-Assumptions!C9)</f>
        <v>-933338.548327815</v>
      </c>
      <c r="F6" s="9" t="n">
        <f aca="false">Assumptions!C6*(1+0.01)^10-FV(0.05/12,120,PMT(0.05/12,360,Assumptions!C9),-Assumptions!C9)</f>
        <v>-879856.5549574</v>
      </c>
      <c r="G6" s="9" t="n">
        <f aca="false">Assumptions!C6*(1+0.02)^10-FV(0.05/12,120,PMT(0.05/12,360,Assumptions!C9),-Assumptions!C9)</f>
        <v>-765484.260373847</v>
      </c>
      <c r="H6" s="9" t="n">
        <f aca="false">Assumptions!C6*(1+0.03)^10-FV(0.05/12,120,PMT(0.05/12,360,Assumptions!C9),-Assumptions!C9)</f>
        <v>-640562.301024482</v>
      </c>
      <c r="I6" s="9" t="n">
        <f aca="false">Assumptions!C6*(1+0.04)^10-FV(0.05/12,120,PMT(0.05/12,360,Assumptions!C9),-Assumptions!C9)</f>
        <v>-504234.39545026</v>
      </c>
      <c r="J6" s="9" t="n">
        <f aca="false">Assumptions!C6*(1+0.05)^10-FV(0.05/12,120,PMT(0.05/12,360,Assumptions!C9),-Assumptions!C9)</f>
        <v>-355584.053591163</v>
      </c>
    </row>
    <row r="7" customFormat="false" ht="15" hidden="false" customHeight="false" outlineLevel="0" collapsed="false">
      <c r="B7" s="60" t="n">
        <v>0.055</v>
      </c>
      <c r="C7" s="9" t="n">
        <f aca="false">Assumptions!C6*(1+-0.005)^10-FV(0.055/12,120,PMT(0.055/12,360,Assumptions!C9),-Assumptions!C9)</f>
        <v>-1158284.20828541</v>
      </c>
      <c r="D7" s="9" t="n">
        <f aca="false">Assumptions!C6*(1+0)^10-FV(0.055/12,120,PMT(0.055/12,360,Assumptions!C9),-Assumptions!C9)</f>
        <v>-1109394.33875118</v>
      </c>
      <c r="E7" s="9" t="n">
        <f aca="false">Assumptions!C6*(1+0.005)^10-FV(0.055/12,120,PMT(0.055/12,360,Assumptions!C9),-Assumptions!C9)</f>
        <v>-1058254.20671039</v>
      </c>
      <c r="F7" s="9" t="n">
        <f aca="false">Assumptions!C6*(1+0.01)^10-FV(0.055/12,120,PMT(0.055/12,360,Assumptions!C9),-Assumptions!C9)</f>
        <v>-1004772.21333998</v>
      </c>
      <c r="G7" s="9" t="n">
        <f aca="false">Assumptions!C6*(1+0.02)^10-FV(0.055/12,120,PMT(0.055/12,360,Assumptions!C9),-Assumptions!C9)</f>
        <v>-890399.918756424</v>
      </c>
      <c r="H7" s="9" t="n">
        <f aca="false">Assumptions!C6*(1+0.03)^10-FV(0.055/12,120,PMT(0.055/12,360,Assumptions!C9),-Assumptions!C9)</f>
        <v>-765477.959407059</v>
      </c>
      <c r="I7" s="9" t="n">
        <f aca="false">Assumptions!C6*(1+0.04)^10-FV(0.055/12,120,PMT(0.055/12,360,Assumptions!C9),-Assumptions!C9)</f>
        <v>-629150.053832837</v>
      </c>
      <c r="J7" s="9" t="n">
        <f aca="false">Assumptions!C6*(1+0.05)^10-FV(0.055/12,120,PMT(0.055/12,360,Assumptions!C9),-Assumptions!C9)</f>
        <v>-480499.711973739</v>
      </c>
    </row>
    <row r="8" customFormat="false" ht="15" hidden="false" customHeight="false" outlineLevel="0" collapsed="false">
      <c r="B8" s="60" t="n">
        <v>0.06</v>
      </c>
      <c r="C8" s="9" t="n">
        <f aca="false">Assumptions!C6*(1+-0.005)^10-FV(0.06/12,120,PMT(0.06/12,360,Assumptions!C9),-Assumptions!C9)</f>
        <v>-1290438.84427608</v>
      </c>
      <c r="D8" s="9" t="n">
        <f aca="false">Assumptions!C6*(1+0)^10-FV(0.06/12,120,PMT(0.06/12,360,Assumptions!C9),-Assumptions!C9)</f>
        <v>-1241548.97474185</v>
      </c>
      <c r="E8" s="9" t="n">
        <f aca="false">Assumptions!C6*(1+0.005)^10-FV(0.06/12,120,PMT(0.06/12,360,Assumptions!C9),-Assumptions!C9)</f>
        <v>-1190408.84270106</v>
      </c>
      <c r="F8" s="9" t="n">
        <f aca="false">Assumptions!C6*(1+0.01)^10-FV(0.06/12,120,PMT(0.06/12,360,Assumptions!C9),-Assumptions!C9)</f>
        <v>-1136926.84933064</v>
      </c>
      <c r="G8" s="61" t="n">
        <f aca="false">Assumptions!C6*(1+0.02)^10-FV(0.06/12,120,PMT(0.06/12,360,Assumptions!C9),-Assumptions!C9)</f>
        <v>-1022554.55474709</v>
      </c>
      <c r="H8" s="9" t="n">
        <f aca="false">Assumptions!C6*(1+0.03)^10-FV(0.06/12,120,PMT(0.06/12,360,Assumptions!C9),-Assumptions!C9)</f>
        <v>-897632.595397726</v>
      </c>
      <c r="I8" s="9" t="n">
        <f aca="false">Assumptions!C6*(1+0.04)^10-FV(0.06/12,120,PMT(0.06/12,360,Assumptions!C9),-Assumptions!C9)</f>
        <v>-761304.689823503</v>
      </c>
      <c r="J8" s="9" t="n">
        <f aca="false">Assumptions!C6*(1+0.05)^10-FV(0.06/12,120,PMT(0.06/12,360,Assumptions!C9),-Assumptions!C9)</f>
        <v>-612654.347964406</v>
      </c>
    </row>
    <row r="9" customFormat="false" ht="15" hidden="false" customHeight="false" outlineLevel="0" collapsed="false">
      <c r="B9" s="60" t="n">
        <v>0.065</v>
      </c>
      <c r="C9" s="9" t="n">
        <f aca="false">Assumptions!C6*(1+-0.005)^10-FV(0.065/12,120,PMT(0.065/12,360,Assumptions!C9),-Assumptions!C9)</f>
        <v>-1430174.86203019</v>
      </c>
      <c r="D9" s="9" t="n">
        <f aca="false">Assumptions!C6*(1+0)^10-FV(0.065/12,120,PMT(0.065/12,360,Assumptions!C9),-Assumptions!C9)</f>
        <v>-1381284.99249597</v>
      </c>
      <c r="E9" s="9" t="n">
        <f aca="false">Assumptions!C6*(1+0.005)^10-FV(0.065/12,120,PMT(0.065/12,360,Assumptions!C9),-Assumptions!C9)</f>
        <v>-1330144.86045518</v>
      </c>
      <c r="F9" s="9" t="n">
        <f aca="false">Assumptions!C6*(1+0.01)^10-FV(0.065/12,120,PMT(0.065/12,360,Assumptions!C9),-Assumptions!C9)</f>
        <v>-1276662.86708476</v>
      </c>
      <c r="G9" s="9" t="n">
        <f aca="false">Assumptions!C6*(1+0.02)^10-FV(0.065/12,120,PMT(0.065/12,360,Assumptions!C9),-Assumptions!C9)</f>
        <v>-1162290.57250121</v>
      </c>
      <c r="H9" s="9" t="n">
        <f aca="false">Assumptions!C6*(1+0.03)^10-FV(0.065/12,120,PMT(0.065/12,360,Assumptions!C9),-Assumptions!C9)</f>
        <v>-1037368.61315184</v>
      </c>
      <c r="I9" s="9" t="n">
        <f aca="false">Assumptions!C6*(1+0.04)^10-FV(0.065/12,120,PMT(0.065/12,360,Assumptions!C9),-Assumptions!C9)</f>
        <v>-901040.707577622</v>
      </c>
      <c r="J9" s="9" t="n">
        <f aca="false">Assumptions!C6*(1+0.05)^10-FV(0.065/12,120,PMT(0.065/12,360,Assumptions!C9),-Assumptions!C9)</f>
        <v>-752390.365718524</v>
      </c>
    </row>
    <row r="10" customFormat="false" ht="15" hidden="false" customHeight="false" outlineLevel="0" collapsed="false">
      <c r="B10" s="60" t="n">
        <v>0.07</v>
      </c>
      <c r="C10" s="9" t="n">
        <f aca="false">Assumptions!C6*(1+-0.005)^10-FV(0.07/12,120,PMT(0.07/12,360,Assumptions!C9),-Assumptions!C9)</f>
        <v>-1577849.00499586</v>
      </c>
      <c r="D10" s="9" t="n">
        <f aca="false">Assumptions!C6*(1+0)^10-FV(0.07/12,120,PMT(0.07/12,360,Assumptions!C9),-Assumptions!C9)</f>
        <v>-1528959.13546163</v>
      </c>
      <c r="E10" s="9" t="n">
        <f aca="false">Assumptions!C6*(1+0.005)^10-FV(0.07/12,120,PMT(0.07/12,360,Assumptions!C9),-Assumptions!C9)</f>
        <v>-1477819.00342084</v>
      </c>
      <c r="F10" s="9" t="n">
        <f aca="false">Assumptions!C6*(1+0.01)^10-FV(0.07/12,120,PMT(0.07/12,360,Assumptions!C9),-Assumptions!C9)</f>
        <v>-1424337.01005043</v>
      </c>
      <c r="G10" s="9" t="n">
        <f aca="false">Assumptions!C6*(1+0.02)^10-FV(0.07/12,120,PMT(0.07/12,360,Assumptions!C9),-Assumptions!C9)</f>
        <v>-1309964.71546687</v>
      </c>
      <c r="H10" s="9" t="n">
        <f aca="false">Assumptions!C6*(1+0.03)^10-FV(0.07/12,120,PMT(0.07/12,360,Assumptions!C9),-Assumptions!C9)</f>
        <v>-1185042.75611751</v>
      </c>
      <c r="I10" s="9" t="n">
        <f aca="false">Assumptions!C6*(1+0.04)^10-FV(0.07/12,120,PMT(0.07/12,360,Assumptions!C9),-Assumptions!C9)</f>
        <v>-1048714.85054329</v>
      </c>
      <c r="J10" s="9" t="n">
        <f aca="false">Assumptions!C6*(1+0.05)^10-FV(0.07/12,120,PMT(0.07/12,360,Assumptions!C9),-Assumptions!C9)</f>
        <v>-900064.508684189</v>
      </c>
    </row>
    <row r="13" customFormat="false" ht="15" hidden="false" customHeight="false" outlineLevel="0" collapsed="false">
      <c r="B13" s="59" t="s">
        <v>148</v>
      </c>
      <c r="C13" s="59"/>
      <c r="D13" s="59"/>
      <c r="E13" s="59"/>
      <c r="F13" s="59"/>
      <c r="G13" s="59"/>
      <c r="H13" s="59"/>
      <c r="I13" s="59"/>
      <c r="J13" s="59"/>
    </row>
    <row r="14" customFormat="false" ht="15" hidden="false" customHeight="false" outlineLevel="0" collapsed="false">
      <c r="B14" s="3" t="s">
        <v>139</v>
      </c>
      <c r="C14" s="3" t="s">
        <v>140</v>
      </c>
      <c r="D14" s="3" t="s">
        <v>141</v>
      </c>
      <c r="E14" s="3" t="s">
        <v>142</v>
      </c>
      <c r="F14" s="3" t="s">
        <v>143</v>
      </c>
      <c r="G14" s="3" t="s">
        <v>144</v>
      </c>
      <c r="H14" s="3" t="s">
        <v>145</v>
      </c>
      <c r="I14" s="3" t="s">
        <v>146</v>
      </c>
      <c r="J14" s="3" t="s">
        <v>147</v>
      </c>
    </row>
    <row r="15" customFormat="false" ht="15" hidden="false" customHeight="false" outlineLevel="0" collapsed="false">
      <c r="B15" s="60" t="n">
        <v>0.05</v>
      </c>
      <c r="C15" s="29" t="n">
        <f aca="false">Assumptions!C23*12*(1-Assumptions!C25)*(1-Assumptions!C26)--PMT(0.05/12,Assumptions!C18,Assumptions!C9)*12</f>
        <v>-19134.8758091654</v>
      </c>
      <c r="D15" s="29" t="n">
        <f aca="false">Assumptions!C23*12*(1-Assumptions!C25)*(1-Assumptions!C26)--PMT(0.05/12,Assumptions!C18,Assumptions!C9)*12</f>
        <v>-19134.8758091654</v>
      </c>
      <c r="E15" s="29" t="n">
        <f aca="false">Assumptions!C23*12*(1-Assumptions!C25)*(1-Assumptions!C26)--PMT(0.05/12,Assumptions!C18,Assumptions!C9)*12</f>
        <v>-19134.8758091654</v>
      </c>
      <c r="F15" s="29" t="n">
        <f aca="false">Assumptions!C23*12*(1-Assumptions!C25)*(1-Assumptions!C26)--PMT(0.05/12,Assumptions!C18,Assumptions!C9)*12</f>
        <v>-19134.8758091654</v>
      </c>
      <c r="G15" s="29" t="n">
        <f aca="false">Assumptions!C23*12*(1-Assumptions!C25)*(1-Assumptions!C26)--PMT(0.05/12,Assumptions!C18,Assumptions!C9)*12</f>
        <v>-19134.8758091654</v>
      </c>
      <c r="H15" s="29" t="n">
        <f aca="false">Assumptions!C23*12*(1-Assumptions!C25)*(1-Assumptions!C26)--PMT(0.05/12,Assumptions!C18,Assumptions!C9)*12</f>
        <v>-19134.8758091654</v>
      </c>
      <c r="I15" s="29" t="n">
        <f aca="false">Assumptions!C23*12*(1-Assumptions!C25)*(1-Assumptions!C26)--PMT(0.05/12,Assumptions!C18,Assumptions!C9)*12</f>
        <v>-19134.8758091654</v>
      </c>
      <c r="J15" s="29" t="n">
        <f aca="false">Assumptions!C23*12*(1-Assumptions!C25)*(1-Assumptions!C26)--PMT(0.05/12,Assumptions!C18,Assumptions!C9)*12</f>
        <v>-19134.8758091654</v>
      </c>
    </row>
    <row r="16" customFormat="false" ht="15" hidden="false" customHeight="false" outlineLevel="0" collapsed="false">
      <c r="B16" s="60" t="n">
        <v>0.055</v>
      </c>
      <c r="C16" s="29" t="n">
        <f aca="false">Assumptions!C23*12*(1-Assumptions!C25)*(1-Assumptions!C26)--PMT(0.055/12,Assumptions!C18,Assumptions!C9)*12</f>
        <v>-22107.7441293123</v>
      </c>
      <c r="D16" s="29" t="n">
        <f aca="false">Assumptions!C23*12*(1-Assumptions!C25)*(1-Assumptions!C26)--PMT(0.055/12,Assumptions!C18,Assumptions!C9)*12</f>
        <v>-22107.7441293123</v>
      </c>
      <c r="E16" s="29" t="n">
        <f aca="false">Assumptions!C23*12*(1-Assumptions!C25)*(1-Assumptions!C26)--PMT(0.055/12,Assumptions!C18,Assumptions!C9)*12</f>
        <v>-22107.7441293123</v>
      </c>
      <c r="F16" s="29" t="n">
        <f aca="false">Assumptions!C23*12*(1-Assumptions!C25)*(1-Assumptions!C26)--PMT(0.055/12,Assumptions!C18,Assumptions!C9)*12</f>
        <v>-22107.7441293123</v>
      </c>
      <c r="G16" s="29" t="n">
        <f aca="false">Assumptions!C23*12*(1-Assumptions!C25)*(1-Assumptions!C26)--PMT(0.055/12,Assumptions!C18,Assumptions!C9)*12</f>
        <v>-22107.7441293123</v>
      </c>
      <c r="H16" s="29" t="n">
        <f aca="false">Assumptions!C23*12*(1-Assumptions!C25)*(1-Assumptions!C26)--PMT(0.055/12,Assumptions!C18,Assumptions!C9)*12</f>
        <v>-22107.7441293123</v>
      </c>
      <c r="I16" s="29" t="n">
        <f aca="false">Assumptions!C23*12*(1-Assumptions!C25)*(1-Assumptions!C26)--PMT(0.055/12,Assumptions!C18,Assumptions!C9)*12</f>
        <v>-22107.7441293123</v>
      </c>
      <c r="J16" s="29" t="n">
        <f aca="false">Assumptions!C23*12*(1-Assumptions!C25)*(1-Assumptions!C26)--PMT(0.055/12,Assumptions!C18,Assumptions!C9)*12</f>
        <v>-22107.7441293123</v>
      </c>
    </row>
    <row r="17" customFormat="false" ht="15" hidden="false" customHeight="false" outlineLevel="0" collapsed="false">
      <c r="B17" s="60" t="n">
        <v>0.06</v>
      </c>
      <c r="C17" s="29" t="n">
        <f aca="false">Assumptions!C23*12*(1-Assumptions!C25)*(1-Assumptions!C26)--PMT(0.06/12,Assumptions!C18,Assumptions!C9)*12</f>
        <v>-25156.8504146642</v>
      </c>
      <c r="D17" s="29" t="n">
        <f aca="false">Assumptions!C23*12*(1-Assumptions!C25)*(1-Assumptions!C26)--PMT(0.06/12,Assumptions!C18,Assumptions!C9)*12</f>
        <v>-25156.8504146642</v>
      </c>
      <c r="E17" s="29" t="n">
        <f aca="false">Assumptions!C23*12*(1-Assumptions!C25)*(1-Assumptions!C26)--PMT(0.06/12,Assumptions!C18,Assumptions!C9)*12</f>
        <v>-25156.8504146642</v>
      </c>
      <c r="F17" s="29" t="n">
        <f aca="false">Assumptions!C23*12*(1-Assumptions!C25)*(1-Assumptions!C26)--PMT(0.06/12,Assumptions!C18,Assumptions!C9)*12</f>
        <v>-25156.8504146642</v>
      </c>
      <c r="G17" s="62" t="n">
        <f aca="false">Assumptions!C23*12*(1-Assumptions!C25)*(1-Assumptions!C26)--PMT(0.06/12,Assumptions!C18,Assumptions!C9)*12</f>
        <v>-25156.8504146642</v>
      </c>
      <c r="H17" s="29" t="n">
        <f aca="false">Assumptions!C23*12*(1-Assumptions!C25)*(1-Assumptions!C26)--PMT(0.06/12,Assumptions!C18,Assumptions!C9)*12</f>
        <v>-25156.8504146642</v>
      </c>
      <c r="I17" s="29" t="n">
        <f aca="false">Assumptions!C23*12*(1-Assumptions!C25)*(1-Assumptions!C26)--PMT(0.06/12,Assumptions!C18,Assumptions!C9)*12</f>
        <v>-25156.8504146642</v>
      </c>
      <c r="J17" s="29" t="n">
        <f aca="false">Assumptions!C23*12*(1-Assumptions!C25)*(1-Assumptions!C26)--PMT(0.06/12,Assumptions!C18,Assumptions!C9)*12</f>
        <v>-25156.8504146642</v>
      </c>
    </row>
    <row r="18" customFormat="false" ht="15" hidden="false" customHeight="false" outlineLevel="0" collapsed="false">
      <c r="B18" s="60" t="n">
        <v>0.065</v>
      </c>
      <c r="C18" s="29" t="n">
        <f aca="false">Assumptions!C23*12*(1-Assumptions!C25)*(1-Assumptions!C26)--PMT(0.065/12,Assumptions!C18,Assumptions!C9)*12</f>
        <v>-28278.5302553245</v>
      </c>
      <c r="D18" s="29" t="n">
        <f aca="false">Assumptions!C23*12*(1-Assumptions!C25)*(1-Assumptions!C26)--PMT(0.065/12,Assumptions!C18,Assumptions!C9)*12</f>
        <v>-28278.5302553245</v>
      </c>
      <c r="E18" s="29" t="n">
        <f aca="false">Assumptions!C23*12*(1-Assumptions!C25)*(1-Assumptions!C26)--PMT(0.065/12,Assumptions!C18,Assumptions!C9)*12</f>
        <v>-28278.5302553245</v>
      </c>
      <c r="F18" s="29" t="n">
        <f aca="false">Assumptions!C23*12*(1-Assumptions!C25)*(1-Assumptions!C26)--PMT(0.065/12,Assumptions!C18,Assumptions!C9)*12</f>
        <v>-28278.5302553245</v>
      </c>
      <c r="G18" s="29" t="n">
        <f aca="false">Assumptions!C23*12*(1-Assumptions!C25)*(1-Assumptions!C26)--PMT(0.065/12,Assumptions!C18,Assumptions!C9)*12</f>
        <v>-28278.5302553245</v>
      </c>
      <c r="H18" s="29" t="n">
        <f aca="false">Assumptions!C23*12*(1-Assumptions!C25)*(1-Assumptions!C26)--PMT(0.065/12,Assumptions!C18,Assumptions!C9)*12</f>
        <v>-28278.5302553245</v>
      </c>
      <c r="I18" s="29" t="n">
        <f aca="false">Assumptions!C23*12*(1-Assumptions!C25)*(1-Assumptions!C26)--PMT(0.065/12,Assumptions!C18,Assumptions!C9)*12</f>
        <v>-28278.5302553245</v>
      </c>
      <c r="J18" s="29" t="n">
        <f aca="false">Assumptions!C23*12*(1-Assumptions!C25)*(1-Assumptions!C26)--PMT(0.065/12,Assumptions!C18,Assumptions!C9)*12</f>
        <v>-28278.5302553245</v>
      </c>
    </row>
    <row r="19" customFormat="false" ht="15" hidden="false" customHeight="false" outlineLevel="0" collapsed="false">
      <c r="B19" s="60" t="n">
        <v>0.07</v>
      </c>
      <c r="C19" s="29" t="n">
        <f aca="false">Assumptions!C23*12*(1-Assumptions!C25)*(1-Assumptions!C26)--PMT(0.07/12,Assumptions!C18,Assumptions!C9)*12</f>
        <v>-31469.0395372016</v>
      </c>
      <c r="D19" s="29" t="n">
        <f aca="false">Assumptions!C23*12*(1-Assumptions!C25)*(1-Assumptions!C26)--PMT(0.07/12,Assumptions!C18,Assumptions!C9)*12</f>
        <v>-31469.0395372016</v>
      </c>
      <c r="E19" s="29" t="n">
        <f aca="false">Assumptions!C23*12*(1-Assumptions!C25)*(1-Assumptions!C26)--PMT(0.07/12,Assumptions!C18,Assumptions!C9)*12</f>
        <v>-31469.0395372016</v>
      </c>
      <c r="F19" s="29" t="n">
        <f aca="false">Assumptions!C23*12*(1-Assumptions!C25)*(1-Assumptions!C26)--PMT(0.07/12,Assumptions!C18,Assumptions!C9)*12</f>
        <v>-31469.0395372016</v>
      </c>
      <c r="G19" s="29" t="n">
        <f aca="false">Assumptions!C23*12*(1-Assumptions!C25)*(1-Assumptions!C26)--PMT(0.07/12,Assumptions!C18,Assumptions!C9)*12</f>
        <v>-31469.0395372016</v>
      </c>
      <c r="H19" s="29" t="n">
        <f aca="false">Assumptions!C23*12*(1-Assumptions!C25)*(1-Assumptions!C26)--PMT(0.07/12,Assumptions!C18,Assumptions!C9)*12</f>
        <v>-31469.0395372016</v>
      </c>
      <c r="I19" s="29" t="n">
        <f aca="false">Assumptions!C23*12*(1-Assumptions!C25)*(1-Assumptions!C26)--PMT(0.07/12,Assumptions!C18,Assumptions!C9)*12</f>
        <v>-31469.0395372016</v>
      </c>
      <c r="J19" s="29" t="n">
        <f aca="false">Assumptions!C23*12*(1-Assumptions!C25)*(1-Assumptions!C26)--PMT(0.07/12,Assumptions!C18,Assumptions!C9)*12</f>
        <v>-31469.0395372016</v>
      </c>
    </row>
    <row r="22" customFormat="false" ht="15" hidden="false" customHeight="false" outlineLevel="0" collapsed="false">
      <c r="B22" s="59" t="s">
        <v>149</v>
      </c>
      <c r="C22" s="59"/>
      <c r="D22" s="59"/>
      <c r="E22" s="59"/>
      <c r="F22" s="59"/>
      <c r="G22" s="59"/>
      <c r="H22" s="59"/>
      <c r="I22" s="59"/>
      <c r="J22" s="59"/>
    </row>
    <row r="23" customFormat="false" ht="15" hidden="false" customHeight="false" outlineLevel="0" collapsed="false">
      <c r="B23" s="3" t="s">
        <v>139</v>
      </c>
      <c r="C23" s="3" t="s">
        <v>140</v>
      </c>
      <c r="D23" s="3" t="s">
        <v>141</v>
      </c>
      <c r="E23" s="3" t="s">
        <v>142</v>
      </c>
      <c r="F23" s="3" t="s">
        <v>143</v>
      </c>
      <c r="G23" s="3" t="s">
        <v>144</v>
      </c>
      <c r="H23" s="3" t="s">
        <v>145</v>
      </c>
      <c r="I23" s="3" t="s">
        <v>146</v>
      </c>
      <c r="J23" s="3" t="s">
        <v>147</v>
      </c>
    </row>
    <row r="24" customFormat="false" ht="15" hidden="false" customHeight="false" outlineLevel="0" collapsed="false">
      <c r="B24" s="60" t="n">
        <v>0.05</v>
      </c>
      <c r="C24" s="9" t="n">
        <f aca="false">Assumptions!C6*(1+-0.005)^10*(1-Assumptions!C35)-FV(0.05/12,120,PMT(0.05/12,360,Assumptions!C9),-Assumptions!C9)</f>
        <v>-1080924.05642612</v>
      </c>
      <c r="D24" s="9" t="n">
        <f aca="false">Assumptions!C6*(1+0)^10*(1-Assumptions!C35)-FV(0.05/12,120,PMT(0.05/12,360,Assumptions!C9),-Assumptions!C9)</f>
        <v>-1034478.6803686</v>
      </c>
      <c r="E24" s="9" t="n">
        <f aca="false">Assumptions!C6*(1+0.005)^10*(1-Assumptions!C35)-FV(0.05/12,120,PMT(0.05/12,360,Assumptions!C9),-Assumptions!C9)</f>
        <v>-985895.554929855</v>
      </c>
      <c r="F24" s="9" t="n">
        <f aca="false">Assumptions!C6*(1+0.01)^10*(1-Assumptions!C35)-FV(0.05/12,120,PMT(0.05/12,360,Assumptions!C9),-Assumptions!C9)</f>
        <v>-935087.66122796</v>
      </c>
      <c r="G24" s="9" t="n">
        <f aca="false">Assumptions!C6*(1+0.02)^10*(1-Assumptions!C35)-FV(0.05/12,120,PMT(0.05/12,360,Assumptions!C9),-Assumptions!C9)</f>
        <v>-826433.981373585</v>
      </c>
      <c r="H24" s="9" t="n">
        <f aca="false">Assumptions!C6*(1+0.03)^10*(1-Assumptions!C35)-FV(0.05/12,120,PMT(0.05/12,360,Assumptions!C9),-Assumptions!C9)</f>
        <v>-707758.119991689</v>
      </c>
      <c r="I24" s="9" t="n">
        <f aca="false">Assumptions!C6*(1+0.04)^10*(1-Assumptions!C35)-FV(0.05/12,120,PMT(0.05/12,360,Assumptions!C9),-Assumptions!C9)</f>
        <v>-578246.609696178</v>
      </c>
      <c r="J24" s="9" t="n">
        <f aca="false">Assumptions!C6*(1+0.05)^10*(1-Assumptions!C35)-FV(0.05/12,120,PMT(0.05/12,360,Assumptions!C9),-Assumptions!C9)</f>
        <v>-437028.784930035</v>
      </c>
    </row>
    <row r="25" customFormat="false" ht="15" hidden="false" customHeight="false" outlineLevel="0" collapsed="false">
      <c r="B25" s="60" t="n">
        <v>0.055</v>
      </c>
      <c r="C25" s="9" t="n">
        <f aca="false">Assumptions!C6*(1+-0.005)^10*(1-Assumptions!C35)-FV(0.055/12,120,PMT(0.055/12,360,Assumptions!C9),-Assumptions!C9)</f>
        <v>-1205839.7148087</v>
      </c>
      <c r="D25" s="9" t="n">
        <f aca="false">Assumptions!C6*(1+0)^10*(1-Assumptions!C35)-FV(0.055/12,120,PMT(0.055/12,360,Assumptions!C9),-Assumptions!C9)</f>
        <v>-1159394.33875118</v>
      </c>
      <c r="E25" s="9" t="n">
        <f aca="false">Assumptions!C6*(1+0.005)^10*(1-Assumptions!C35)-FV(0.055/12,120,PMT(0.055/12,360,Assumptions!C9),-Assumptions!C9)</f>
        <v>-1110811.21331243</v>
      </c>
      <c r="F25" s="9" t="n">
        <f aca="false">Assumptions!C6*(1+0.01)^10*(1-Assumptions!C35)-FV(0.055/12,120,PMT(0.055/12,360,Assumptions!C9),-Assumptions!C9)</f>
        <v>-1060003.31961054</v>
      </c>
      <c r="G25" s="9" t="n">
        <f aca="false">Assumptions!C6*(1+0.02)^10*(1-Assumptions!C35)-FV(0.055/12,120,PMT(0.055/12,360,Assumptions!C9),-Assumptions!C9)</f>
        <v>-951349.639756162</v>
      </c>
      <c r="H25" s="9" t="n">
        <f aca="false">Assumptions!C6*(1+0.03)^10*(1-Assumptions!C35)-FV(0.055/12,120,PMT(0.055/12,360,Assumptions!C9),-Assumptions!C9)</f>
        <v>-832673.778374265</v>
      </c>
      <c r="I25" s="9" t="n">
        <f aca="false">Assumptions!C6*(1+0.04)^10*(1-Assumptions!C35)-FV(0.055/12,120,PMT(0.055/12,360,Assumptions!C9),-Assumptions!C9)</f>
        <v>-703162.268078754</v>
      </c>
      <c r="J25" s="9" t="n">
        <f aca="false">Assumptions!C6*(1+0.05)^10*(1-Assumptions!C35)-FV(0.055/12,120,PMT(0.055/12,360,Assumptions!C9),-Assumptions!C9)</f>
        <v>-561944.443312611</v>
      </c>
    </row>
    <row r="26" customFormat="false" ht="15" hidden="false" customHeight="false" outlineLevel="0" collapsed="false">
      <c r="B26" s="60" t="n">
        <v>0.06</v>
      </c>
      <c r="C26" s="9" t="n">
        <f aca="false">Assumptions!C6*(1+-0.005)^10*(1-Assumptions!C35)-FV(0.06/12,120,PMT(0.06/12,360,Assumptions!C9),-Assumptions!C9)</f>
        <v>-1337994.35079936</v>
      </c>
      <c r="D26" s="9" t="n">
        <f aca="false">Assumptions!C6*(1+0)^10*(1-Assumptions!C35)-FV(0.06/12,120,PMT(0.06/12,360,Assumptions!C9),-Assumptions!C9)</f>
        <v>-1291548.97474185</v>
      </c>
      <c r="E26" s="9" t="n">
        <f aca="false">Assumptions!C6*(1+0.005)^10*(1-Assumptions!C35)-FV(0.06/12,120,PMT(0.06/12,360,Assumptions!C9),-Assumptions!C9)</f>
        <v>-1242965.8493031</v>
      </c>
      <c r="F26" s="9" t="n">
        <f aca="false">Assumptions!C6*(1+0.01)^10*(1-Assumptions!C35)-FV(0.06/12,120,PMT(0.06/12,360,Assumptions!C9),-Assumptions!C9)</f>
        <v>-1192157.9556012</v>
      </c>
      <c r="G26" s="61" t="n">
        <f aca="false">Assumptions!C6*(1+0.02)^10*(1-Assumptions!C35)-FV(0.06/12,120,PMT(0.06/12,360,Assumptions!C9),-Assumptions!C9)</f>
        <v>-1083504.27574683</v>
      </c>
      <c r="H26" s="9" t="n">
        <f aca="false">Assumptions!C6*(1+0.03)^10*(1-Assumptions!C35)-FV(0.06/12,120,PMT(0.06/12,360,Assumptions!C9),-Assumptions!C9)</f>
        <v>-964828.414364932</v>
      </c>
      <c r="I26" s="9" t="n">
        <f aca="false">Assumptions!C6*(1+0.04)^10*(1-Assumptions!C35)-FV(0.06/12,120,PMT(0.06/12,360,Assumptions!C9),-Assumptions!C9)</f>
        <v>-835316.904069421</v>
      </c>
      <c r="J26" s="9" t="n">
        <f aca="false">Assumptions!C6*(1+0.05)^10*(1-Assumptions!C35)-FV(0.06/12,120,PMT(0.06/12,360,Assumptions!C9),-Assumptions!C9)</f>
        <v>-694099.079303278</v>
      </c>
    </row>
    <row r="27" customFormat="false" ht="15" hidden="false" customHeight="false" outlineLevel="0" collapsed="false">
      <c r="B27" s="60" t="n">
        <v>0.065</v>
      </c>
      <c r="C27" s="9" t="n">
        <f aca="false">Assumptions!C6*(1+-0.005)^10*(1-Assumptions!C35)-FV(0.065/12,120,PMT(0.065/12,360,Assumptions!C9),-Assumptions!C9)</f>
        <v>-1477730.36855348</v>
      </c>
      <c r="D27" s="9" t="n">
        <f aca="false">Assumptions!C6*(1+0)^10*(1-Assumptions!C35)-FV(0.065/12,120,PMT(0.065/12,360,Assumptions!C9),-Assumptions!C9)</f>
        <v>-1431284.99249597</v>
      </c>
      <c r="E27" s="9" t="n">
        <f aca="false">Assumptions!C6*(1+0.005)^10*(1-Assumptions!C35)-FV(0.065/12,120,PMT(0.065/12,360,Assumptions!C9),-Assumptions!C9)</f>
        <v>-1382701.86705722</v>
      </c>
      <c r="F27" s="9" t="n">
        <f aca="false">Assumptions!C6*(1+0.01)^10*(1-Assumptions!C35)-FV(0.065/12,120,PMT(0.065/12,360,Assumptions!C9),-Assumptions!C9)</f>
        <v>-1331893.97335532</v>
      </c>
      <c r="G27" s="9" t="n">
        <f aca="false">Assumptions!C6*(1+0.02)^10*(1-Assumptions!C35)-FV(0.065/12,120,PMT(0.065/12,360,Assumptions!C9),-Assumptions!C9)</f>
        <v>-1223240.29350095</v>
      </c>
      <c r="H27" s="9" t="n">
        <f aca="false">Assumptions!C6*(1+0.03)^10*(1-Assumptions!C35)-FV(0.065/12,120,PMT(0.065/12,360,Assumptions!C9),-Assumptions!C9)</f>
        <v>-1104564.43211905</v>
      </c>
      <c r="I27" s="9" t="n">
        <f aca="false">Assumptions!C6*(1+0.04)^10*(1-Assumptions!C35)-FV(0.065/12,120,PMT(0.065/12,360,Assumptions!C9),-Assumptions!C9)</f>
        <v>-975052.921823539</v>
      </c>
      <c r="J27" s="9" t="n">
        <f aca="false">Assumptions!C6*(1+0.05)^10*(1-Assumptions!C35)-FV(0.065/12,120,PMT(0.065/12,360,Assumptions!C9),-Assumptions!C9)</f>
        <v>-833835.097057396</v>
      </c>
    </row>
    <row r="28" customFormat="false" ht="15" hidden="false" customHeight="false" outlineLevel="0" collapsed="false">
      <c r="B28" s="60" t="n">
        <v>0.07</v>
      </c>
      <c r="C28" s="9" t="n">
        <f aca="false">Assumptions!C6*(1+-0.005)^10*(1-Assumptions!C35)-FV(0.07/12,120,PMT(0.07/12,360,Assumptions!C9),-Assumptions!C9)</f>
        <v>-1625404.51151915</v>
      </c>
      <c r="D28" s="9" t="n">
        <f aca="false">Assumptions!C6*(1+0)^10*(1-Assumptions!C35)-FV(0.07/12,120,PMT(0.07/12,360,Assumptions!C9),-Assumptions!C9)</f>
        <v>-1578959.13546163</v>
      </c>
      <c r="E28" s="9" t="n">
        <f aca="false">Assumptions!C6*(1+0.005)^10*(1-Assumptions!C35)-FV(0.07/12,120,PMT(0.07/12,360,Assumptions!C9),-Assumptions!C9)</f>
        <v>-1530376.01002288</v>
      </c>
      <c r="F28" s="9" t="n">
        <f aca="false">Assumptions!C6*(1+0.01)^10*(1-Assumptions!C35)-FV(0.07/12,120,PMT(0.07/12,360,Assumptions!C9),-Assumptions!C9)</f>
        <v>-1479568.11632099</v>
      </c>
      <c r="G28" s="9" t="n">
        <f aca="false">Assumptions!C6*(1+0.02)^10*(1-Assumptions!C35)-FV(0.07/12,120,PMT(0.07/12,360,Assumptions!C9),-Assumptions!C9)</f>
        <v>-1370914.43646661</v>
      </c>
      <c r="H28" s="9" t="n">
        <f aca="false">Assumptions!C6*(1+0.03)^10*(1-Assumptions!C35)-FV(0.07/12,120,PMT(0.07/12,360,Assumptions!C9),-Assumptions!C9)</f>
        <v>-1252238.57508472</v>
      </c>
      <c r="I28" s="9" t="n">
        <f aca="false">Assumptions!C6*(1+0.04)^10*(1-Assumptions!C35)-FV(0.07/12,120,PMT(0.07/12,360,Assumptions!C9),-Assumptions!C9)</f>
        <v>-1122727.0647892</v>
      </c>
      <c r="J28" s="9" t="n">
        <f aca="false">Assumptions!C6*(1+0.05)^10*(1-Assumptions!C35)-FV(0.07/12,120,PMT(0.07/12,360,Assumptions!C9),-Assumptions!C9)</f>
        <v>-981509.240023061</v>
      </c>
    </row>
  </sheetData>
  <mergeCells count="4">
    <mergeCell ref="B2:I2"/>
    <mergeCell ref="B4:I4"/>
    <mergeCell ref="B13:J13"/>
    <mergeCell ref="B22:J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B2: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20"/>
    <col collapsed="false" customWidth="true" hidden="false" outlineLevel="0" max="4" min="4" style="0" width="5"/>
    <col collapsed="false" customWidth="true" hidden="false" outlineLevel="0" max="5" min="5" style="0" width="32"/>
    <col collapsed="false" customWidth="true" hidden="false" outlineLevel="0" max="6" min="6" style="0" width="20"/>
  </cols>
  <sheetData>
    <row r="2" customFormat="false" ht="17.35" hidden="false" customHeight="false" outlineLevel="0" collapsed="false">
      <c r="B2" s="1" t="s">
        <v>150</v>
      </c>
      <c r="C2" s="1"/>
      <c r="D2" s="1"/>
      <c r="E2" s="1"/>
      <c r="F2" s="1"/>
    </row>
    <row r="4" customFormat="false" ht="15" hidden="false" customHeight="true" outlineLevel="0" collapsed="false">
      <c r="B4" s="63" t="s">
        <v>151</v>
      </c>
      <c r="C4" s="63"/>
      <c r="E4" s="64" t="s">
        <v>152</v>
      </c>
      <c r="F4" s="64"/>
    </row>
    <row r="5" customFormat="false" ht="15" hidden="false" customHeight="false" outlineLevel="0" collapsed="false">
      <c r="B5" s="46" t="s">
        <v>4</v>
      </c>
      <c r="C5" s="39" t="n">
        <f aca="false">Assumptions!C6</f>
        <v>1000000</v>
      </c>
      <c r="E5" s="19" t="s">
        <v>153</v>
      </c>
      <c r="F5" s="65" t="n">
        <f aca="false">'10-Year Model'!D17/(-'10-Year Model'!D20)</f>
        <v>0.562921698574132</v>
      </c>
    </row>
    <row r="6" customFormat="false" ht="15" hidden="false" customHeight="false" outlineLevel="0" collapsed="false">
      <c r="B6" s="27" t="s">
        <v>154</v>
      </c>
      <c r="C6" s="28" t="n">
        <f aca="false">Assumptions!C12</f>
        <v>225000</v>
      </c>
      <c r="E6" s="19" t="s">
        <v>155</v>
      </c>
      <c r="F6" s="66" t="n">
        <f aca="false">1-Assumptions!C7</f>
        <v>0.8</v>
      </c>
    </row>
    <row r="7" customFormat="false" ht="15" hidden="false" customHeight="false" outlineLevel="0" collapsed="false">
      <c r="B7" s="46" t="s">
        <v>40</v>
      </c>
      <c r="C7" s="39" t="n">
        <f aca="false">Assumptions!C19</f>
        <v>4796.40420122202</v>
      </c>
      <c r="E7" s="19" t="s">
        <v>156</v>
      </c>
      <c r="F7" s="66" t="n">
        <f aca="false">(-'10-Year Model'!D20+'10-Year Model'!D16)/(Assumptions!C23*12)</f>
        <v>0.974101050305505</v>
      </c>
    </row>
    <row r="8" customFormat="false" ht="15" hidden="false" customHeight="false" outlineLevel="0" collapsed="false">
      <c r="B8" s="27" t="s">
        <v>157</v>
      </c>
      <c r="C8" s="28" t="n">
        <f aca="false">'10-Year Model'!D17</f>
        <v>32400</v>
      </c>
      <c r="E8" s="19" t="s">
        <v>158</v>
      </c>
      <c r="F8" s="67" t="n">
        <f aca="false">'10-Year Model'!D25/12</f>
        <v>-2096.40420122202</v>
      </c>
    </row>
    <row r="9" customFormat="false" ht="15" hidden="false" customHeight="false" outlineLevel="0" collapsed="false">
      <c r="B9" s="46" t="s">
        <v>159</v>
      </c>
      <c r="C9" s="68" t="n">
        <f aca="false">'10-Year Model'!D25</f>
        <v>-25156.8504146642</v>
      </c>
      <c r="E9" s="19" t="s">
        <v>160</v>
      </c>
      <c r="F9" s="69" t="s">
        <v>161</v>
      </c>
    </row>
    <row r="10" customFormat="false" ht="15" hidden="false" customHeight="false" outlineLevel="0" collapsed="false">
      <c r="B10" s="27" t="s">
        <v>162</v>
      </c>
      <c r="C10" s="70" t="n">
        <f aca="false">'10-Year Model'!C45</f>
        <v>-0.111808224065174</v>
      </c>
      <c r="E10" s="19" t="s">
        <v>163</v>
      </c>
      <c r="F10" s="66" t="n">
        <f aca="false">('10-Year Model'!D17)/(-'10-Year Model'!D20+'10-Year Model'!D16+'10-Year Model'!D17)</f>
        <v>0.40931391067573</v>
      </c>
    </row>
    <row r="11" customFormat="false" ht="15" hidden="false" customHeight="false" outlineLevel="0" collapsed="false">
      <c r="B11" s="46" t="s">
        <v>164</v>
      </c>
      <c r="C11" s="71" t="n">
        <f aca="false">'10-Year Model'!C46</f>
        <v>0.0324</v>
      </c>
    </row>
    <row r="12" customFormat="false" ht="15" hidden="false" customHeight="true" outlineLevel="0" collapsed="false">
      <c r="B12" s="27" t="s">
        <v>165</v>
      </c>
      <c r="C12" s="28" t="n">
        <f aca="false">'10-Year Model'!M7</f>
        <v>1280084.54419636</v>
      </c>
      <c r="E12" s="72" t="s">
        <v>166</v>
      </c>
      <c r="F12" s="72"/>
    </row>
    <row r="13" customFormat="false" ht="15" hidden="false" customHeight="false" outlineLevel="0" collapsed="false">
      <c r="B13" s="46" t="s">
        <v>167</v>
      </c>
      <c r="C13" s="39" t="n">
        <f aca="false">'10-Year Model'!M32</f>
        <v>610598.744486544</v>
      </c>
      <c r="E13" s="18" t="s">
        <v>168</v>
      </c>
      <c r="F13" s="73" t="s">
        <v>169</v>
      </c>
    </row>
    <row r="14" customFormat="false" ht="15" hidden="false" customHeight="false" outlineLevel="0" collapsed="false">
      <c r="B14" s="27" t="s">
        <v>109</v>
      </c>
      <c r="C14" s="28" t="n">
        <f aca="false">'10-Year Model'!M38</f>
        <v>546594.517276726</v>
      </c>
      <c r="E14" s="24" t="s">
        <v>170</v>
      </c>
      <c r="F14" s="30" t="s">
        <v>171</v>
      </c>
    </row>
    <row r="15" customFormat="false" ht="15" hidden="false" customHeight="false" outlineLevel="0" collapsed="false">
      <c r="B15" s="46" t="s">
        <v>172</v>
      </c>
      <c r="C15" s="71" t="n">
        <f aca="false">'10-Year Model'!C42</f>
        <v>0.0295218619922219</v>
      </c>
      <c r="E15" s="18" t="s">
        <v>173</v>
      </c>
      <c r="F15" s="73" t="s">
        <v>174</v>
      </c>
    </row>
    <row r="16" customFormat="false" ht="15" hidden="false" customHeight="false" outlineLevel="0" collapsed="false">
      <c r="B16" s="27" t="s">
        <v>114</v>
      </c>
      <c r="C16" s="74" t="n">
        <f aca="false">'10-Year Model'!C44</f>
        <v>1.48451369959361</v>
      </c>
      <c r="E16" s="24" t="s">
        <v>175</v>
      </c>
      <c r="F16" s="30" t="s">
        <v>176</v>
      </c>
    </row>
    <row r="17" customFormat="false" ht="15" hidden="false" customHeight="false" outlineLevel="0" collapsed="false">
      <c r="B17" s="46" t="s">
        <v>113</v>
      </c>
      <c r="C17" s="39" t="n">
        <f aca="false">'10-Year Model'!C43</f>
        <v>334015.582408563</v>
      </c>
      <c r="E17" s="18" t="s">
        <v>177</v>
      </c>
      <c r="F17" s="73" t="s">
        <v>178</v>
      </c>
    </row>
    <row r="18" customFormat="false" ht="15" hidden="false" customHeight="false" outlineLevel="0" collapsed="false">
      <c r="E18" s="24" t="s">
        <v>179</v>
      </c>
      <c r="F18" s="30" t="s">
        <v>180</v>
      </c>
    </row>
    <row r="19" customFormat="false" ht="15" hidden="false" customHeight="false" outlineLevel="0" collapsed="false">
      <c r="E19" s="18" t="s">
        <v>181</v>
      </c>
      <c r="F19" s="73" t="s">
        <v>182</v>
      </c>
    </row>
    <row r="20" customFormat="false" ht="15" hidden="false" customHeight="false" outlineLevel="0" collapsed="false">
      <c r="E20" s="24" t="s">
        <v>183</v>
      </c>
      <c r="F20" s="30" t="s">
        <v>184</v>
      </c>
    </row>
    <row r="21" customFormat="false" ht="15" hidden="false" customHeight="false" outlineLevel="0" collapsed="false">
      <c r="E21" s="18" t="s">
        <v>185</v>
      </c>
      <c r="F21" s="73" t="s">
        <v>186</v>
      </c>
    </row>
    <row r="22" customFormat="false" ht="15" hidden="false" customHeight="false" outlineLevel="0" collapsed="false">
      <c r="E22" s="24" t="s">
        <v>187</v>
      </c>
      <c r="F22" s="30" t="s">
        <v>38</v>
      </c>
    </row>
  </sheetData>
  <mergeCells count="4">
    <mergeCell ref="B2:F2"/>
    <mergeCell ref="B4:C4"/>
    <mergeCell ref="E4:F4"/>
    <mergeCell ref="E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2: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6" min="3" style="0" width="18"/>
  </cols>
  <sheetData>
    <row r="2" customFormat="false" ht="17.35" hidden="false" customHeight="false" outlineLevel="0" collapsed="false">
      <c r="B2" s="1" t="s">
        <v>188</v>
      </c>
      <c r="C2" s="1"/>
      <c r="D2" s="1"/>
      <c r="E2" s="1"/>
      <c r="F2" s="1"/>
    </row>
    <row r="4" customFormat="false" ht="26.85" hidden="false" customHeight="false" outlineLevel="0" collapsed="false">
      <c r="B4" s="3" t="s">
        <v>118</v>
      </c>
      <c r="C4" s="3" t="s">
        <v>104</v>
      </c>
      <c r="D4" s="3" t="s">
        <v>99</v>
      </c>
      <c r="E4" s="3" t="s">
        <v>189</v>
      </c>
      <c r="F4" s="3" t="s">
        <v>190</v>
      </c>
    </row>
    <row r="5" customFormat="false" ht="15" hidden="false" customHeight="false" outlineLevel="0" collapsed="false">
      <c r="B5" s="36" t="n">
        <v>0</v>
      </c>
      <c r="C5" s="28" t="n">
        <f aca="false">'10-Year Model'!C32</f>
        <v>200000</v>
      </c>
      <c r="D5" s="28" t="n">
        <f aca="false">'10-Year Model'!C26</f>
        <v>-225000</v>
      </c>
      <c r="E5" s="28" t="n">
        <f aca="false">'10-Year Model'!C7</f>
        <v>1000000</v>
      </c>
      <c r="F5" s="28" t="n">
        <f aca="false">IF(0=0,Assumptions!C9,'10-Year Model'!C29)</f>
        <v>800000</v>
      </c>
    </row>
    <row r="6" customFormat="false" ht="15" hidden="false" customHeight="false" outlineLevel="0" collapsed="false">
      <c r="B6" s="36" t="n">
        <v>1</v>
      </c>
      <c r="C6" s="28" t="n">
        <f aca="false">'10-Year Model'!D32</f>
        <v>234824.093698214</v>
      </c>
      <c r="D6" s="28" t="n">
        <f aca="false">'10-Year Model'!D26</f>
        <v>-250156.850414664</v>
      </c>
      <c r="E6" s="28" t="n">
        <f aca="false">'10-Year Model'!D7</f>
        <v>1025000</v>
      </c>
      <c r="F6" s="28" t="n">
        <f aca="false">IF(1=0,Assumptions!C9,'10-Year Model'!D29)</f>
        <v>790175.906301786</v>
      </c>
    </row>
    <row r="7" customFormat="false" ht="15" hidden="false" customHeight="false" outlineLevel="0" collapsed="false">
      <c r="B7" s="36" t="n">
        <v>2</v>
      </c>
      <c r="C7" s="28" t="n">
        <f aca="false">'10-Year Model'!E32</f>
        <v>270879.115999285</v>
      </c>
      <c r="D7" s="28" t="n">
        <f aca="false">'10-Year Model'!E26</f>
        <v>-274503.700829329</v>
      </c>
      <c r="E7" s="28" t="n">
        <f aca="false">'10-Year Model'!E7</f>
        <v>1050625</v>
      </c>
      <c r="F7" s="28" t="n">
        <f aca="false">IF(2=0,Assumptions!C9,'10-Year Model'!E29)</f>
        <v>779745.884000715</v>
      </c>
    </row>
    <row r="8" customFormat="false" ht="15" hidden="false" customHeight="false" outlineLevel="0" collapsed="false">
      <c r="B8" s="36" t="n">
        <v>3</v>
      </c>
      <c r="C8" s="28" t="n">
        <f aca="false">'10-Year Model'!F32</f>
        <v>308218.064253584</v>
      </c>
      <c r="D8" s="28" t="n">
        <f aca="false">'10-Year Model'!F26</f>
        <v>-298020.301243993</v>
      </c>
      <c r="E8" s="28" t="n">
        <f aca="false">'10-Year Model'!F7</f>
        <v>1076890.625</v>
      </c>
      <c r="F8" s="28" t="n">
        <f aca="false">IF(3=0,Assumptions!C9,'10-Year Model'!F29)</f>
        <v>768672.560746415</v>
      </c>
    </row>
    <row r="9" customFormat="false" ht="15" hidden="false" customHeight="false" outlineLevel="0" collapsed="false">
      <c r="B9" s="36" t="n">
        <v>4</v>
      </c>
      <c r="C9" s="28" t="n">
        <f aca="false">'10-Year Model'!G32</f>
        <v>346896.631481277</v>
      </c>
      <c r="D9" s="28" t="n">
        <f aca="false">'10-Year Model'!G26</f>
        <v>-320685.895408657</v>
      </c>
      <c r="E9" s="28" t="n">
        <f aca="false">'10-Year Model'!G7</f>
        <v>1103812.890625</v>
      </c>
      <c r="F9" s="28" t="n">
        <f aca="false">IF(4=0,Assumptions!C9,'10-Year Model'!G29)</f>
        <v>756916.259143723</v>
      </c>
    </row>
    <row r="10" customFormat="false" ht="15" hidden="false" customHeight="false" outlineLevel="0" collapsed="false">
      <c r="B10" s="36" t="n">
        <v>5</v>
      </c>
      <c r="C10" s="28" t="n">
        <f aca="false">'10-Year Model'!H32</f>
        <v>386973.358308068</v>
      </c>
      <c r="D10" s="28" t="n">
        <f aca="false">'10-Year Model'!H26</f>
        <v>-342479.208167071</v>
      </c>
      <c r="E10" s="28" t="n">
        <f aca="false">'10-Year Model'!H7</f>
        <v>1131408.21289062</v>
      </c>
      <c r="F10" s="28" t="n">
        <f aca="false">IF(5=0,Assumptions!C9,'10-Year Model'!H29)</f>
        <v>744434.854582557</v>
      </c>
    </row>
    <row r="11" customFormat="false" ht="15" hidden="false" customHeight="false" outlineLevel="0" collapsed="false">
      <c r="B11" s="36" t="n">
        <v>6</v>
      </c>
      <c r="C11" s="28" t="n">
        <f aca="false">'10-Year Model'!I32</f>
        <v>428509.793913828</v>
      </c>
      <c r="D11" s="28" t="n">
        <f aca="false">'10-Year Model'!I26</f>
        <v>-363378.432484079</v>
      </c>
      <c r="E11" s="28" t="n">
        <f aca="false">'10-Year Model'!I7</f>
        <v>1159693.41821289</v>
      </c>
      <c r="F11" s="28" t="n">
        <f aca="false">IF(6=0,Assumptions!C9,'10-Year Model'!I29)</f>
        <v>731183.624299062</v>
      </c>
    </row>
    <row r="12" customFormat="false" ht="15" hidden="false" customHeight="false" outlineLevel="0" collapsed="false">
      <c r="B12" s="36" t="n">
        <v>7</v>
      </c>
      <c r="C12" s="28" t="n">
        <f aca="false">'10-Year Model'!J32</f>
        <v>471570.666541043</v>
      </c>
      <c r="D12" s="28" t="n">
        <f aca="false">'10-Year Model'!J26</f>
        <v>-383361.216148646</v>
      </c>
      <c r="E12" s="28" t="n">
        <f aca="false">'10-Year Model'!J7</f>
        <v>1188685.75366821</v>
      </c>
      <c r="F12" s="28" t="n">
        <f aca="false">IF(7=0,Assumptions!C9,'10-Year Model'!J29)</f>
        <v>717115.087127169</v>
      </c>
    </row>
    <row r="13" customFormat="false" ht="15" hidden="false" customHeight="false" outlineLevel="0" collapsed="false">
      <c r="B13" s="36" t="n">
        <v>8</v>
      </c>
      <c r="C13" s="28" t="n">
        <f aca="false">'10-Year Model'!K32</f>
        <v>516224.064143538</v>
      </c>
      <c r="D13" s="28" t="n">
        <f aca="false">'10-Year Model'!K26</f>
        <v>-402404.64814446</v>
      </c>
      <c r="E13" s="28" t="n">
        <f aca="false">'10-Year Model'!K7</f>
        <v>1218402.89750992</v>
      </c>
      <c r="F13" s="28" t="n">
        <f aca="false">IF(8=0,Assumptions!C9,'10-Year Model'!K29)</f>
        <v>702178.83336638</v>
      </c>
    </row>
    <row r="14" customFormat="false" ht="15" hidden="false" customHeight="false" outlineLevel="0" collapsed="false">
      <c r="B14" s="36" t="n">
        <v>9</v>
      </c>
      <c r="C14" s="28" t="n">
        <f aca="false">'10-Year Model'!L32</f>
        <v>562541.625791494</v>
      </c>
      <c r="D14" s="28" t="n">
        <f aca="false">'10-Year Model'!L26</f>
        <v>-420485.244679803</v>
      </c>
      <c r="E14" s="28" t="n">
        <f aca="false">'10-Year Model'!L7</f>
        <v>1248862.96994767</v>
      </c>
      <c r="F14" s="28" t="n">
        <f aca="false">IF(9=0,Assumptions!C9,'10-Year Model'!L29)</f>
        <v>686321.344156172</v>
      </c>
    </row>
    <row r="15" customFormat="false" ht="15" hidden="false" customHeight="false" outlineLevel="0" collapsed="false">
      <c r="B15" s="36" t="n">
        <v>10</v>
      </c>
      <c r="C15" s="28" t="n">
        <f aca="false">'10-Year Model'!M32</f>
        <v>610598.744486544</v>
      </c>
      <c r="D15" s="28" t="n">
        <f aca="false">'10-Year Model'!M26</f>
        <v>-437578.934868163</v>
      </c>
      <c r="E15" s="28" t="n">
        <f aca="false">'10-Year Model'!M7</f>
        <v>1280084.54419636</v>
      </c>
      <c r="F15" s="28" t="n">
        <f aca="false">IF(10=0,Assumptions!C9,'10-Year Model'!M29)</f>
        <v>669485.799709813</v>
      </c>
    </row>
  </sheetData>
  <mergeCells count="1">
    <mergeCell ref="B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B2: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100"/>
  </cols>
  <sheetData>
    <row r="2" customFormat="false" ht="17.35" hidden="false" customHeight="false" outlineLevel="0" collapsed="false">
      <c r="B2" s="75" t="s">
        <v>191</v>
      </c>
    </row>
    <row r="4" customFormat="false" ht="19.5" hidden="false" customHeight="true" outlineLevel="0" collapsed="false">
      <c r="B4" s="22" t="s">
        <v>192</v>
      </c>
    </row>
    <row r="5" customFormat="false" ht="60" hidden="false" customHeight="true" outlineLevel="0" collapsed="false">
      <c r="B5" s="76" t="s">
        <v>193</v>
      </c>
    </row>
    <row r="6" customFormat="false" ht="19.5" hidden="false" customHeight="true" outlineLevel="0" collapsed="false"/>
    <row r="7" customFormat="false" ht="19.5" hidden="false" customHeight="true" outlineLevel="0" collapsed="false">
      <c r="B7" s="22" t="s">
        <v>194</v>
      </c>
    </row>
    <row r="8" customFormat="false" ht="60" hidden="false" customHeight="true" outlineLevel="0" collapsed="false">
      <c r="B8" s="76" t="s">
        <v>195</v>
      </c>
    </row>
    <row r="9" customFormat="false" ht="19.5" hidden="false" customHeight="true" outlineLevel="0" collapsed="false"/>
    <row r="10" customFormat="false" ht="19.5" hidden="false" customHeight="true" outlineLevel="0" collapsed="false">
      <c r="B10" s="22" t="s">
        <v>196</v>
      </c>
    </row>
    <row r="11" customFormat="false" ht="60" hidden="false" customHeight="true" outlineLevel="0" collapsed="false">
      <c r="B11" s="76" t="s">
        <v>197</v>
      </c>
    </row>
    <row r="12" customFormat="false" ht="60" hidden="false" customHeight="true" outlineLevel="0" collapsed="false">
      <c r="B12" s="76" t="s">
        <v>198</v>
      </c>
    </row>
    <row r="13" customFormat="false" ht="60" hidden="false" customHeight="true" outlineLevel="0" collapsed="false">
      <c r="B13" s="76" t="s">
        <v>199</v>
      </c>
    </row>
    <row r="14" customFormat="false" ht="19.5" hidden="false" customHeight="true" outlineLevel="0" collapsed="false"/>
    <row r="15" customFormat="false" ht="19.5" hidden="false" customHeight="true" outlineLevel="0" collapsed="false">
      <c r="B15" s="22" t="s">
        <v>200</v>
      </c>
    </row>
    <row r="16" customFormat="false" ht="60" hidden="false" customHeight="true" outlineLevel="0" collapsed="false">
      <c r="B16" s="76" t="s">
        <v>201</v>
      </c>
    </row>
    <row r="17" customFormat="false" ht="19.5" hidden="false" customHeight="true" outlineLevel="0" collapsed="false"/>
    <row r="18" customFormat="false" ht="19.5" hidden="false" customHeight="true" outlineLevel="0" collapsed="false">
      <c r="B18" s="22" t="s">
        <v>202</v>
      </c>
    </row>
    <row r="19" customFormat="false" ht="60" hidden="false" customHeight="true" outlineLevel="0" collapsed="false">
      <c r="B19" s="76" t="s">
        <v>203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2026-02-16T20:29:18Z</dcterms:created>
  <dc:creator>openpyxl</dc:creator>
  <dc:description/>
  <dc:language>en-US</dc:language>
  <cp:lastModifiedBy/>
  <dcterms:modified xsi:type="dcterms:W3CDTF">2026-02-16T20:29:25Z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