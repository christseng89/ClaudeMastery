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Balance" sheetId="1" state="visible" r:id="rId3"/>
    <sheet name="Budget" sheetId="2" state="visible" r:id="rId4"/>
    <sheet name="Prior Year (2024)" sheetId="3" state="visible" r:id="rId5"/>
    <sheet name="Headcount &amp; KPIs" sheetId="4" state="visible" r:id="rId6"/>
    <sheet name="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<sst xmlns="http://schemas.openxmlformats.org/spreadsheetml/2006/main" count="316" uniqueCount="106">
  <si>
    <t xml:space="preserve">FY2025 Trial Balance — Acme Professional Services LLC</t>
  </si>
  <si>
    <t xml:space="preserve">Acct #</t>
  </si>
  <si>
    <t xml:space="preserve">Account Name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</si>
  <si>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</si>
  <si>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</si>
  <si>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</si>
  <si>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</si>
  <si>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</si>
  <si>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</si>
  <si>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</si>
  <si>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</si>
  <si>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</si>
  <si>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</si>
  <si>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</si>
  <si>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</si>
  <si>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</si>
  <si>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 Total</t>
  </si>
  <si>
    <t xml:space="preserve">Assets</t>
  </si>
  <si>
    <t xml:space="preserve">Cash and Equivalents</t>
  </si>
  <si>
    <t xml:space="preserve">Accounts Receivable</t>
  </si>
  <si>
    <t xml:space="preserve">Prepaid Expenses</t>
  </si>
  <si>
    <t xml:space="preserve">Fixed Assets (net)</t>
  </si>
  <si>
    <t xml:space="preserve">Liabilities</t>
  </si>
  <si>
    <t xml:space="preserve">Accounts Payable</t>
  </si>
  <si>
    <t xml:space="preserve">Accrued Liabilities</t>
  </si>
  <si>
    <t xml:space="preserve">Deferred Revenue</t>
  </si>
  <si>
    <t xml:space="preserve">Long-Term Debt</t>
  </si>
  <si>
    <t xml:space="preserve">Equity</t>
  </si>
  <si>
    <t xml:space="preserve">Retained Earnings</t>
  </si>
  <si>
    <t xml:space="preserve">Owner's Equity</t>
  </si>
  <si>
    <t xml:space="preserve">Revenue</t>
  </si>
  <si>
    <t xml:space="preserve">Consulting Revenue</t>
  </si>
  <si>
    <t xml:space="preserve">Advisory Revenue</t>
  </si>
  <si>
    <t xml:space="preserve">Implementation Revenue</t>
  </si>
  <si>
    <t xml:space="preserve">COGS</t>
  </si>
  <si>
    <t xml:space="preserve">Direct Labor</t>
  </si>
  <si>
    <t xml:space="preserve">Subcontractors</t>
  </si>
  <si>
    <t xml:space="preserve">Project Expenses</t>
  </si>
  <si>
    <t xml:space="preserve">Operating Expenses</t>
  </si>
  <si>
    <t xml:space="preserve">Payroll and Benefits</t>
  </si>
  <si>
    <t xml:space="preserve">Rent and Utilities</t>
  </si>
  <si>
    <t xml:space="preserve">Advertising and Marketing</t>
  </si>
  <si>
    <t xml:space="preserve">Software and Subscriptions</t>
  </si>
  <si>
    <t xml:space="preserve">Professional Services (legal, accounting)</t>
  </si>
  <si>
    <t xml:space="preserve">Travel</t>
  </si>
  <si>
    <t xml:space="preserve">Meals and Entertainment</t>
  </si>
  <si>
    <t xml:space="preserve">Office Supplies</t>
  </si>
  <si>
    <t xml:space="preserve">Insurance</t>
  </si>
  <si>
    <t xml:space="preserve">Bank Fees and Charges</t>
  </si>
  <si>
    <t xml:space="preserve">Contractors and Freelancers</t>
  </si>
  <si>
    <t xml:space="preserve">Depreciation</t>
  </si>
  <si>
    <t xml:space="preserve">Other Income/Expense</t>
  </si>
  <si>
    <t xml:space="preserve">Interest Expense</t>
  </si>
  <si>
    <t xml:space="preserve">Other Income</t>
  </si>
  <si>
    <t xml:space="preserve">FY2025 Annual Budget — Acme Professional Services LLC</t>
  </si>
  <si>
    <t xml:space="preserve">FY2024 Actuals — Acme Professional Services LLC</t>
  </si>
  <si>
    <t xml:space="preserve">FY2025 Headcount &amp; Operating KPIs</t>
  </si>
  <si>
    <t xml:space="preserve">Metric</t>
  </si>
  <si>
    <t xml:space="preserve">FY Avg / Total</t>
  </si>
  <si>
    <t xml:space="preserve">Total FTE</t>
  </si>
  <si>
    <t xml:space="preserve">Billable FTE</t>
  </si>
  <si>
    <t xml:space="preserve">Available Hours per FTE</t>
  </si>
  <si>
    <t xml:space="preserve">Billable Hours (Total)</t>
  </si>
  <si>
    <t xml:space="preserve">Utilization Rate</t>
  </si>
  <si>
    <t xml:space="preserve">Avg Billing Rate ($/hr)</t>
  </si>
  <si>
    <t xml:space="preserve">Key Budget Assumptions — FY2025</t>
  </si>
  <si>
    <t xml:space="preserve">Assumption</t>
  </si>
  <si>
    <t xml:space="preserve">Value</t>
  </si>
  <si>
    <t xml:space="preserve">Notes</t>
  </si>
  <si>
    <t xml:space="preserve">Revenue growth (YoY)</t>
  </si>
  <si>
    <t xml:space="preserve">10%</t>
  </si>
  <si>
    <t xml:space="preserve">Blended across service lines</t>
  </si>
  <si>
    <t xml:space="preserve">Consulting growth</t>
  </si>
  <si>
    <t xml:space="preserve">Stable client base + 2 new logos</t>
  </si>
  <si>
    <t xml:space="preserve">Advisory growth</t>
  </si>
  <si>
    <t xml:space="preserve">14%</t>
  </si>
  <si>
    <t xml:space="preserve">Expanding advisory practice</t>
  </si>
  <si>
    <t xml:space="preserve">Implementation growth</t>
  </si>
  <si>
    <t xml:space="preserve">18%</t>
  </si>
  <si>
    <t xml:space="preserve">New implementation contracts signed Q4 2024</t>
  </si>
  <si>
    <t xml:space="preserve">Gross margin target</t>
  </si>
  <si>
    <t xml:space="preserve">62%</t>
  </si>
  <si>
    <t xml:space="preserve">Industry avg 50-70%</t>
  </si>
  <si>
    <t xml:space="preserve">Headcount growth</t>
  </si>
  <si>
    <t xml:space="preserve">8 net new hires</t>
  </si>
  <si>
    <t xml:space="preserve">Phased Q2-Q4</t>
  </si>
  <si>
    <t xml:space="preserve">Avg billing rate increase</t>
  </si>
  <si>
    <t xml:space="preserve">5%</t>
  </si>
  <si>
    <t xml:space="preserve">Annual rate card increase effective March</t>
  </si>
  <si>
    <t xml:space="preserve">Target utilization</t>
  </si>
  <si>
    <t xml:space="preserve">75%</t>
  </si>
  <si>
    <t xml:space="preserve">Industry benchmark 65-80%</t>
  </si>
  <si>
    <t xml:space="preserve">Marketing spend increase</t>
  </si>
  <si>
    <t xml:space="preserve">25%</t>
  </si>
  <si>
    <t xml:space="preserve">Brand awareness campaign H1</t>
  </si>
  <si>
    <t xml:space="preserve">Travel budget</t>
  </si>
  <si>
    <t xml:space="preserve">+15% vs PY</t>
  </si>
  <si>
    <t xml:space="preserve">Return to in-person client meetings</t>
  </si>
  <si>
    <t xml:space="preserve">Rent</t>
  </si>
  <si>
    <t xml:space="preserve">Flat</t>
  </si>
  <si>
    <t xml:space="preserve">Lease locked through 2026</t>
  </si>
  <si>
    <t xml:space="preserve">$150K annual</t>
  </si>
  <si>
    <t xml:space="preserve">Straight-line on existing assets</t>
  </si>
  <si>
    <t xml:space="preserve">Interest rate</t>
  </si>
  <si>
    <t xml:space="preserve">6.5%</t>
  </si>
  <si>
    <t xml:space="preserve">Variable rate on $750K term loan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</si>
</sst>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"/>
    <numFmt numFmtId="167" formatCode="#,##0.0"/>
    <numFmt numFmtId="168" formatCode="0.0%"/>
    <numFmt numFmtId="169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5" min="4" style="0" width="14"/>
    <col collapsed="false" customWidth="true" hidden="false" outlineLevel="0" max="16" min="1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customFormat="false" ht="15" hidden="false" customHeight="false" outlineLevel="0" collapsed="false">
      <c r="A4" s="3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 t="n">
        <v>1000</v>
      </c>
      <c r="B5" s="4" t="s">
        <v>18</v>
      </c>
      <c r="C5" s="4" t="s">
        <v>17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 t="n">
        <v>1850000</v>
      </c>
      <c r="P5" s="6" t="n">
        <f aca="false">O5</f>
        <v>1850000</v>
      </c>
    </row>
    <row r="6" customFormat="false" ht="15" hidden="false" customHeight="false" outlineLevel="0" collapsed="false">
      <c r="A6" s="4" t="n">
        <v>1100</v>
      </c>
      <c r="B6" s="4" t="s">
        <v>19</v>
      </c>
      <c r="C6" s="4" t="s">
        <v>17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 t="n">
        <v>1420000</v>
      </c>
      <c r="P6" s="6" t="n">
        <f aca="false">O6</f>
        <v>1420000</v>
      </c>
    </row>
    <row r="7" customFormat="false" ht="15" hidden="false" customHeight="false" outlineLevel="0" collapsed="false">
      <c r="A7" s="4" t="n">
        <v>1200</v>
      </c>
      <c r="B7" s="4" t="s">
        <v>20</v>
      </c>
      <c r="C7" s="4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 t="n">
        <v>95000</v>
      </c>
      <c r="P7" s="6" t="n">
        <f aca="false">O7</f>
        <v>95000</v>
      </c>
    </row>
    <row r="8" customFormat="false" ht="15" hidden="false" customHeight="false" outlineLevel="0" collapsed="false">
      <c r="A8" s="4" t="n">
        <v>1500</v>
      </c>
      <c r="B8" s="4" t="s">
        <v>21</v>
      </c>
      <c r="C8" s="4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 t="n">
        <v>580000</v>
      </c>
      <c r="P8" s="6" t="n">
        <f aca="false">O8</f>
        <v>580000</v>
      </c>
    </row>
    <row r="9" customFormat="false" ht="15" hidden="false" customHeight="false" outlineLevel="0" collapsed="false">
      <c r="A9" s="3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false" outlineLevel="0" collapsed="false">
      <c r="A10" s="4" t="n">
        <v>2000</v>
      </c>
      <c r="B10" s="4" t="s">
        <v>23</v>
      </c>
      <c r="C10" s="4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 t="n">
        <v>310000</v>
      </c>
      <c r="P10" s="6" t="n">
        <f aca="false">O10</f>
        <v>310000</v>
      </c>
    </row>
    <row r="11" customFormat="false" ht="15" hidden="false" customHeight="false" outlineLevel="0" collapsed="false">
      <c r="A11" s="4" t="n">
        <v>2100</v>
      </c>
      <c r="B11" s="4" t="s">
        <v>24</v>
      </c>
      <c r="C11" s="4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 t="n">
        <v>185000</v>
      </c>
      <c r="P11" s="6" t="n">
        <f aca="false">O11</f>
        <v>185000</v>
      </c>
    </row>
    <row r="12" customFormat="false" ht="15" hidden="false" customHeight="false" outlineLevel="0" collapsed="false">
      <c r="A12" s="4" t="n">
        <v>2150</v>
      </c>
      <c r="B12" s="4" t="s">
        <v>25</v>
      </c>
      <c r="C12" s="4" t="s">
        <v>22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 t="n">
        <v>220000</v>
      </c>
      <c r="P12" s="6" t="n">
        <f aca="false">O12</f>
        <v>220000</v>
      </c>
    </row>
    <row r="13" customFormat="false" ht="15" hidden="false" customHeight="false" outlineLevel="0" collapsed="false">
      <c r="A13" s="4" t="n">
        <v>2500</v>
      </c>
      <c r="B13" s="4" t="s">
        <v>26</v>
      </c>
      <c r="C13" s="4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 t="n">
        <v>750000</v>
      </c>
      <c r="P13" s="6" t="n">
        <f aca="false">O13</f>
        <v>750000</v>
      </c>
    </row>
    <row r="14" customFormat="false" ht="15" hidden="false" customHeight="false" outlineLevel="0" collapsed="false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false" outlineLevel="0" collapsed="false">
      <c r="A15" s="4" t="n">
        <v>3000</v>
      </c>
      <c r="B15" s="4" t="s">
        <v>28</v>
      </c>
      <c r="C15" s="4" t="s">
        <v>27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 t="n">
        <v>1980000</v>
      </c>
      <c r="P15" s="6" t="n">
        <f aca="false">O15</f>
        <v>1980000</v>
      </c>
    </row>
    <row r="16" customFormat="false" ht="15" hidden="false" customHeight="false" outlineLevel="0" collapsed="false">
      <c r="A16" s="4" t="n">
        <v>3100</v>
      </c>
      <c r="B16" s="4" t="s">
        <v>29</v>
      </c>
      <c r="C16" s="4" t="s">
        <v>27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 t="n">
        <v>500000</v>
      </c>
      <c r="P16" s="6" t="n">
        <f aca="false">O16</f>
        <v>500000</v>
      </c>
    </row>
    <row r="17" customFormat="false" ht="15" hidden="false" customHeight="false" outlineLevel="0" collapsed="false">
      <c r="A17" s="3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4" t="n">
        <v>4000</v>
      </c>
      <c r="B18" s="4" t="s">
        <v>31</v>
      </c>
      <c r="C18" s="4" t="s">
        <v>30</v>
      </c>
      <c r="D18" s="5" t="n">
        <v>480405</v>
      </c>
      <c r="E18" s="5" t="n">
        <v>432838</v>
      </c>
      <c r="F18" s="5" t="n">
        <v>437852</v>
      </c>
      <c r="G18" s="5" t="n">
        <v>413301</v>
      </c>
      <c r="H18" s="5" t="n">
        <v>425748</v>
      </c>
      <c r="I18" s="5" t="n">
        <v>413588</v>
      </c>
      <c r="J18" s="5" t="n">
        <v>414636</v>
      </c>
      <c r="K18" s="5" t="n">
        <v>384925</v>
      </c>
      <c r="L18" s="5" t="n">
        <v>423495</v>
      </c>
      <c r="M18" s="5" t="n">
        <v>424609</v>
      </c>
      <c r="N18" s="5" t="n">
        <v>456547</v>
      </c>
      <c r="O18" s="5" t="n">
        <v>495318</v>
      </c>
      <c r="P18" s="6" t="n">
        <f aca="false">SUM(D18:O18)</f>
        <v>5203262</v>
      </c>
    </row>
    <row r="19" customFormat="false" ht="15" hidden="false" customHeight="false" outlineLevel="0" collapsed="false">
      <c r="A19" s="4" t="n">
        <v>4100</v>
      </c>
      <c r="B19" s="4" t="s">
        <v>32</v>
      </c>
      <c r="C19" s="4" t="s">
        <v>30</v>
      </c>
      <c r="D19" s="5" t="n">
        <v>271728</v>
      </c>
      <c r="E19" s="5" t="n">
        <v>271838</v>
      </c>
      <c r="F19" s="5" t="n">
        <v>286715</v>
      </c>
      <c r="G19" s="5" t="n">
        <v>267913</v>
      </c>
      <c r="H19" s="5" t="n">
        <v>246078</v>
      </c>
      <c r="I19" s="5" t="n">
        <v>255599</v>
      </c>
      <c r="J19" s="5" t="n">
        <v>258599</v>
      </c>
      <c r="K19" s="5" t="n">
        <v>232102</v>
      </c>
      <c r="L19" s="5" t="n">
        <v>279016</v>
      </c>
      <c r="M19" s="5" t="n">
        <v>288877</v>
      </c>
      <c r="N19" s="5" t="n">
        <v>286485</v>
      </c>
      <c r="O19" s="5" t="n">
        <v>291022</v>
      </c>
      <c r="P19" s="6" t="n">
        <f aca="false">SUM(D19:O19)</f>
        <v>3235972</v>
      </c>
    </row>
    <row r="20" customFormat="false" ht="15" hidden="false" customHeight="false" outlineLevel="0" collapsed="false">
      <c r="A20" s="4" t="n">
        <v>4200</v>
      </c>
      <c r="B20" s="4" t="s">
        <v>33</v>
      </c>
      <c r="C20" s="4" t="s">
        <v>30</v>
      </c>
      <c r="D20" s="5" t="n">
        <v>194823</v>
      </c>
      <c r="E20" s="5" t="n">
        <v>167733</v>
      </c>
      <c r="F20" s="5" t="n">
        <v>156153</v>
      </c>
      <c r="G20" s="5" t="n">
        <v>148474</v>
      </c>
      <c r="H20" s="5" t="n">
        <v>167270</v>
      </c>
      <c r="I20" s="5" t="n">
        <v>156174</v>
      </c>
      <c r="J20" s="5" t="n">
        <v>158789</v>
      </c>
      <c r="K20" s="5" t="n">
        <v>160030</v>
      </c>
      <c r="L20" s="5" t="n">
        <v>162670</v>
      </c>
      <c r="M20" s="5" t="n">
        <v>186086</v>
      </c>
      <c r="N20" s="5" t="n">
        <v>174164</v>
      </c>
      <c r="O20" s="5" t="n">
        <v>188946</v>
      </c>
      <c r="P20" s="6" t="n">
        <f aca="false">SUM(D20:O20)</f>
        <v>2021312</v>
      </c>
    </row>
    <row r="21" customFormat="false" ht="15" hidden="false" customHeight="false" outlineLevel="0" collapsed="false">
      <c r="A21" s="3" t="s">
        <v>34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" hidden="false" customHeight="false" outlineLevel="0" collapsed="false">
      <c r="A22" s="4" t="n">
        <v>5000</v>
      </c>
      <c r="B22" s="4" t="s">
        <v>35</v>
      </c>
      <c r="C22" s="4" t="s">
        <v>34</v>
      </c>
      <c r="D22" s="5" t="n">
        <v>195226</v>
      </c>
      <c r="E22" s="5" t="n">
        <v>185776</v>
      </c>
      <c r="F22" s="5" t="n">
        <v>186511</v>
      </c>
      <c r="G22" s="5" t="n">
        <v>172323</v>
      </c>
      <c r="H22" s="5" t="n">
        <v>168988</v>
      </c>
      <c r="I22" s="5" t="n">
        <v>154642</v>
      </c>
      <c r="J22" s="5" t="n">
        <v>154090</v>
      </c>
      <c r="K22" s="5" t="n">
        <v>158588</v>
      </c>
      <c r="L22" s="5" t="n">
        <v>163814</v>
      </c>
      <c r="M22" s="5" t="n">
        <v>175190</v>
      </c>
      <c r="N22" s="5" t="n">
        <v>181459</v>
      </c>
      <c r="O22" s="5" t="n">
        <v>193604</v>
      </c>
      <c r="P22" s="6" t="n">
        <f aca="false">SUM(D22:O22)</f>
        <v>2090211</v>
      </c>
    </row>
    <row r="23" customFormat="false" ht="15" hidden="false" customHeight="false" outlineLevel="0" collapsed="false">
      <c r="A23" s="4" t="n">
        <v>5100</v>
      </c>
      <c r="B23" s="4" t="s">
        <v>36</v>
      </c>
      <c r="C23" s="4" t="s">
        <v>34</v>
      </c>
      <c r="D23" s="5" t="n">
        <v>92156</v>
      </c>
      <c r="E23" s="5" t="n">
        <v>83887</v>
      </c>
      <c r="F23" s="5" t="n">
        <v>82352</v>
      </c>
      <c r="G23" s="5" t="n">
        <v>75120</v>
      </c>
      <c r="H23" s="5" t="n">
        <v>73827</v>
      </c>
      <c r="I23" s="5" t="n">
        <v>84517</v>
      </c>
      <c r="J23" s="5" t="n">
        <v>77458</v>
      </c>
      <c r="K23" s="5" t="n">
        <v>78504</v>
      </c>
      <c r="L23" s="5" t="n">
        <v>74377</v>
      </c>
      <c r="M23" s="5" t="n">
        <v>89674</v>
      </c>
      <c r="N23" s="5" t="n">
        <v>82040</v>
      </c>
      <c r="O23" s="5" t="n">
        <v>90795</v>
      </c>
      <c r="P23" s="6" t="n">
        <f aca="false">SUM(D23:O23)</f>
        <v>984707</v>
      </c>
    </row>
    <row r="24" customFormat="false" ht="15" hidden="false" customHeight="false" outlineLevel="0" collapsed="false">
      <c r="A24" s="4" t="n">
        <v>5200</v>
      </c>
      <c r="B24" s="4" t="s">
        <v>37</v>
      </c>
      <c r="C24" s="4" t="s">
        <v>34</v>
      </c>
      <c r="D24" s="5" t="n">
        <v>30105</v>
      </c>
      <c r="E24" s="5" t="n">
        <v>26571</v>
      </c>
      <c r="F24" s="5" t="n">
        <v>25427</v>
      </c>
      <c r="G24" s="5" t="n">
        <v>25065</v>
      </c>
      <c r="H24" s="5" t="n">
        <v>25366</v>
      </c>
      <c r="I24" s="5" t="n">
        <v>24363</v>
      </c>
      <c r="J24" s="5" t="n">
        <v>20212</v>
      </c>
      <c r="K24" s="5" t="n">
        <v>19342</v>
      </c>
      <c r="L24" s="5" t="n">
        <v>22435</v>
      </c>
      <c r="M24" s="5" t="n">
        <v>23258</v>
      </c>
      <c r="N24" s="5" t="n">
        <v>23974</v>
      </c>
      <c r="O24" s="5" t="n">
        <v>31154</v>
      </c>
      <c r="P24" s="6" t="n">
        <f aca="false">SUM(D24:O24)</f>
        <v>297272</v>
      </c>
    </row>
    <row r="25" customFormat="false" ht="15" hidden="false" customHeight="false" outlineLevel="0" collapsed="false">
      <c r="A25" s="3" t="s">
        <v>38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false" outlineLevel="0" collapsed="false">
      <c r="A26" s="4" t="n">
        <v>6100</v>
      </c>
      <c r="B26" s="4" t="s">
        <v>39</v>
      </c>
      <c r="C26" s="4" t="s">
        <v>38</v>
      </c>
      <c r="D26" s="5" t="n">
        <v>224968</v>
      </c>
      <c r="E26" s="5" t="n">
        <v>217554</v>
      </c>
      <c r="F26" s="5" t="n">
        <v>222052</v>
      </c>
      <c r="G26" s="5" t="n">
        <v>218622</v>
      </c>
      <c r="H26" s="5" t="n">
        <v>225472</v>
      </c>
      <c r="I26" s="5" t="n">
        <v>219457</v>
      </c>
      <c r="J26" s="5" t="n">
        <v>216896</v>
      </c>
      <c r="K26" s="5" t="n">
        <v>216655</v>
      </c>
      <c r="L26" s="5" t="n">
        <v>220810</v>
      </c>
      <c r="M26" s="5" t="n">
        <v>216868</v>
      </c>
      <c r="N26" s="5" t="n">
        <v>221117</v>
      </c>
      <c r="O26" s="5" t="n">
        <v>225251</v>
      </c>
      <c r="P26" s="6" t="n">
        <f aca="false">SUM(D26:O26)</f>
        <v>2645722</v>
      </c>
    </row>
    <row r="27" customFormat="false" ht="15" hidden="false" customHeight="false" outlineLevel="0" collapsed="false">
      <c r="A27" s="4" t="n">
        <v>6200</v>
      </c>
      <c r="B27" s="4" t="s">
        <v>40</v>
      </c>
      <c r="C27" s="4" t="s">
        <v>38</v>
      </c>
      <c r="D27" s="5" t="n">
        <v>34930</v>
      </c>
      <c r="E27" s="5" t="n">
        <v>34804</v>
      </c>
      <c r="F27" s="5" t="n">
        <v>35348</v>
      </c>
      <c r="G27" s="5" t="n">
        <v>35007</v>
      </c>
      <c r="H27" s="5" t="n">
        <v>34714</v>
      </c>
      <c r="I27" s="5" t="n">
        <v>34683</v>
      </c>
      <c r="J27" s="5" t="n">
        <v>34727</v>
      </c>
      <c r="K27" s="5" t="n">
        <v>35089</v>
      </c>
      <c r="L27" s="5" t="n">
        <v>35204</v>
      </c>
      <c r="M27" s="5" t="n">
        <v>34946</v>
      </c>
      <c r="N27" s="5" t="n">
        <v>34694</v>
      </c>
      <c r="O27" s="5" t="n">
        <v>34917</v>
      </c>
      <c r="P27" s="6" t="n">
        <f aca="false">SUM(D27:O27)</f>
        <v>419063</v>
      </c>
    </row>
    <row r="28" customFormat="false" ht="15" hidden="false" customHeight="false" outlineLevel="0" collapsed="false">
      <c r="A28" s="4" t="n">
        <v>6300</v>
      </c>
      <c r="B28" s="4" t="s">
        <v>41</v>
      </c>
      <c r="C28" s="4" t="s">
        <v>38</v>
      </c>
      <c r="D28" s="5" t="n">
        <v>33557</v>
      </c>
      <c r="E28" s="5" t="n">
        <v>28326</v>
      </c>
      <c r="F28" s="5" t="n">
        <v>33276</v>
      </c>
      <c r="G28" s="5" t="n">
        <v>32041</v>
      </c>
      <c r="H28" s="5" t="n">
        <v>22529</v>
      </c>
      <c r="I28" s="5" t="n">
        <v>30472</v>
      </c>
      <c r="J28" s="5" t="n">
        <v>30035</v>
      </c>
      <c r="K28" s="5" t="n">
        <v>28414</v>
      </c>
      <c r="L28" s="5" t="n">
        <v>25388</v>
      </c>
      <c r="M28" s="5" t="n">
        <v>29579</v>
      </c>
      <c r="N28" s="5" t="n">
        <v>23649</v>
      </c>
      <c r="O28" s="5" t="n">
        <v>27269</v>
      </c>
      <c r="P28" s="6" t="n">
        <f aca="false">SUM(D28:O28)</f>
        <v>344535</v>
      </c>
    </row>
    <row r="29" customFormat="false" ht="15" hidden="false" customHeight="false" outlineLevel="0" collapsed="false">
      <c r="A29" s="4" t="n">
        <v>6400</v>
      </c>
      <c r="B29" s="4" t="s">
        <v>42</v>
      </c>
      <c r="C29" s="4" t="s">
        <v>38</v>
      </c>
      <c r="D29" s="5" t="n">
        <v>17917</v>
      </c>
      <c r="E29" s="5" t="n">
        <v>18817</v>
      </c>
      <c r="F29" s="5" t="n">
        <v>18677</v>
      </c>
      <c r="G29" s="5" t="n">
        <v>17574</v>
      </c>
      <c r="H29" s="5" t="n">
        <v>18001</v>
      </c>
      <c r="I29" s="5" t="n">
        <v>17422</v>
      </c>
      <c r="J29" s="5" t="n">
        <v>18743</v>
      </c>
      <c r="K29" s="5" t="n">
        <v>18667</v>
      </c>
      <c r="L29" s="5" t="n">
        <v>17637</v>
      </c>
      <c r="M29" s="5" t="n">
        <v>18250</v>
      </c>
      <c r="N29" s="5" t="n">
        <v>18196</v>
      </c>
      <c r="O29" s="5" t="n">
        <v>17375</v>
      </c>
      <c r="P29" s="6" t="n">
        <f aca="false">SUM(D29:O29)</f>
        <v>217276</v>
      </c>
    </row>
    <row r="30" customFormat="false" ht="15" hidden="false" customHeight="false" outlineLevel="0" collapsed="false">
      <c r="A30" s="4" t="n">
        <v>6500</v>
      </c>
      <c r="B30" s="4" t="s">
        <v>43</v>
      </c>
      <c r="C30" s="4" t="s">
        <v>38</v>
      </c>
      <c r="D30" s="5" t="n">
        <v>16181</v>
      </c>
      <c r="E30" s="5" t="n">
        <v>15177</v>
      </c>
      <c r="F30" s="5" t="n">
        <v>16254</v>
      </c>
      <c r="G30" s="5" t="n">
        <v>15137</v>
      </c>
      <c r="H30" s="5" t="n">
        <v>12753</v>
      </c>
      <c r="I30" s="5" t="n">
        <v>14209</v>
      </c>
      <c r="J30" s="5" t="n">
        <v>12838</v>
      </c>
      <c r="K30" s="5" t="n">
        <v>16931</v>
      </c>
      <c r="L30" s="5" t="n">
        <v>16704</v>
      </c>
      <c r="M30" s="5" t="n">
        <v>16492</v>
      </c>
      <c r="N30" s="5" t="n">
        <v>14134</v>
      </c>
      <c r="O30" s="5" t="n">
        <v>13011</v>
      </c>
      <c r="P30" s="6" t="n">
        <f aca="false">SUM(D30:O30)</f>
        <v>179821</v>
      </c>
    </row>
    <row r="31" customFormat="false" ht="15" hidden="false" customHeight="false" outlineLevel="0" collapsed="false">
      <c r="A31" s="4" t="n">
        <v>6600</v>
      </c>
      <c r="B31" s="4" t="s">
        <v>44</v>
      </c>
      <c r="C31" s="4" t="s">
        <v>38</v>
      </c>
      <c r="D31" s="5" t="n">
        <v>27466</v>
      </c>
      <c r="E31" s="5" t="n">
        <v>27455</v>
      </c>
      <c r="F31" s="5" t="n">
        <v>17442</v>
      </c>
      <c r="G31" s="5" t="n">
        <v>20754</v>
      </c>
      <c r="H31" s="5" t="n">
        <v>15880</v>
      </c>
      <c r="I31" s="5" t="n">
        <v>22380</v>
      </c>
      <c r="J31" s="5" t="n">
        <v>21933</v>
      </c>
      <c r="K31" s="5" t="n">
        <v>16121</v>
      </c>
      <c r="L31" s="5" t="n">
        <v>20642</v>
      </c>
      <c r="M31" s="5" t="n">
        <v>22548</v>
      </c>
      <c r="N31" s="5" t="n">
        <v>20386</v>
      </c>
      <c r="O31" s="5" t="n">
        <v>28706</v>
      </c>
      <c r="P31" s="6" t="n">
        <f aca="false">SUM(D31:O31)</f>
        <v>261713</v>
      </c>
    </row>
    <row r="32" customFormat="false" ht="15" hidden="false" customHeight="false" outlineLevel="0" collapsed="false">
      <c r="A32" s="4" t="n">
        <v>6610</v>
      </c>
      <c r="B32" s="4" t="s">
        <v>45</v>
      </c>
      <c r="C32" s="4" t="s">
        <v>38</v>
      </c>
      <c r="D32" s="5" t="n">
        <v>7754</v>
      </c>
      <c r="E32" s="5" t="n">
        <v>7078</v>
      </c>
      <c r="F32" s="5" t="n">
        <v>8126</v>
      </c>
      <c r="G32" s="5" t="n">
        <v>8736</v>
      </c>
      <c r="H32" s="5" t="n">
        <v>7044</v>
      </c>
      <c r="I32" s="5" t="n">
        <v>7397</v>
      </c>
      <c r="J32" s="5" t="n">
        <v>9584</v>
      </c>
      <c r="K32" s="5" t="n">
        <v>8480</v>
      </c>
      <c r="L32" s="5" t="n">
        <v>7802</v>
      </c>
      <c r="M32" s="5" t="n">
        <v>8056</v>
      </c>
      <c r="N32" s="5" t="n">
        <v>6787</v>
      </c>
      <c r="O32" s="5" t="n">
        <v>7119</v>
      </c>
      <c r="P32" s="6" t="n">
        <f aca="false">SUM(D32:O32)</f>
        <v>93963</v>
      </c>
    </row>
    <row r="33" customFormat="false" ht="15" hidden="false" customHeight="false" outlineLevel="0" collapsed="false">
      <c r="A33" s="4" t="n">
        <v>6620</v>
      </c>
      <c r="B33" s="4" t="s">
        <v>46</v>
      </c>
      <c r="C33" s="4" t="s">
        <v>38</v>
      </c>
      <c r="D33" s="5" t="n">
        <v>3330</v>
      </c>
      <c r="E33" s="5" t="n">
        <v>3593</v>
      </c>
      <c r="F33" s="5" t="n">
        <v>3217</v>
      </c>
      <c r="G33" s="5" t="n">
        <v>3206</v>
      </c>
      <c r="H33" s="5" t="n">
        <v>3050</v>
      </c>
      <c r="I33" s="5" t="n">
        <v>3638</v>
      </c>
      <c r="J33" s="5" t="n">
        <v>3215</v>
      </c>
      <c r="K33" s="5" t="n">
        <v>3926</v>
      </c>
      <c r="L33" s="5" t="n">
        <v>3878</v>
      </c>
      <c r="M33" s="5" t="n">
        <v>3049</v>
      </c>
      <c r="N33" s="5" t="n">
        <v>3225</v>
      </c>
      <c r="O33" s="5" t="n">
        <v>3677</v>
      </c>
      <c r="P33" s="6" t="n">
        <f aca="false">SUM(D33:O33)</f>
        <v>41004</v>
      </c>
    </row>
    <row r="34" customFormat="false" ht="15" hidden="false" customHeight="false" outlineLevel="0" collapsed="false">
      <c r="A34" s="4" t="n">
        <v>6630</v>
      </c>
      <c r="B34" s="4" t="s">
        <v>47</v>
      </c>
      <c r="C34" s="4" t="s">
        <v>38</v>
      </c>
      <c r="D34" s="5" t="n">
        <v>5931</v>
      </c>
      <c r="E34" s="5" t="n">
        <v>5912</v>
      </c>
      <c r="F34" s="5" t="n">
        <v>6105</v>
      </c>
      <c r="G34" s="5" t="n">
        <v>6017</v>
      </c>
      <c r="H34" s="5" t="n">
        <v>5993</v>
      </c>
      <c r="I34" s="5" t="n">
        <v>6068</v>
      </c>
      <c r="J34" s="5" t="n">
        <v>6074</v>
      </c>
      <c r="K34" s="5" t="n">
        <v>5926</v>
      </c>
      <c r="L34" s="5" t="n">
        <v>5903</v>
      </c>
      <c r="M34" s="5" t="n">
        <v>5983</v>
      </c>
      <c r="N34" s="5" t="n">
        <v>5982</v>
      </c>
      <c r="O34" s="5" t="n">
        <v>5992</v>
      </c>
      <c r="P34" s="6" t="n">
        <f aca="false">SUM(D34:O34)</f>
        <v>71886</v>
      </c>
    </row>
    <row r="35" customFormat="false" ht="15" hidden="false" customHeight="false" outlineLevel="0" collapsed="false">
      <c r="A35" s="4" t="n">
        <v>6640</v>
      </c>
      <c r="B35" s="4" t="s">
        <v>48</v>
      </c>
      <c r="C35" s="4" t="s">
        <v>38</v>
      </c>
      <c r="D35" s="5" t="n">
        <v>1255</v>
      </c>
      <c r="E35" s="5" t="n">
        <v>1242</v>
      </c>
      <c r="F35" s="5" t="n">
        <v>1316</v>
      </c>
      <c r="G35" s="5" t="n">
        <v>1104</v>
      </c>
      <c r="H35" s="5" t="n">
        <v>1177</v>
      </c>
      <c r="I35" s="5" t="n">
        <v>1161</v>
      </c>
      <c r="J35" s="5" t="n">
        <v>1287</v>
      </c>
      <c r="K35" s="5" t="n">
        <v>1140</v>
      </c>
      <c r="L35" s="5" t="n">
        <v>1126</v>
      </c>
      <c r="M35" s="5" t="n">
        <v>1188</v>
      </c>
      <c r="N35" s="5" t="n">
        <v>1181</v>
      </c>
      <c r="O35" s="5" t="n">
        <v>1147</v>
      </c>
      <c r="P35" s="6" t="n">
        <f aca="false">SUM(D35:O35)</f>
        <v>14324</v>
      </c>
    </row>
    <row r="36" customFormat="false" ht="15" hidden="false" customHeight="false" outlineLevel="0" collapsed="false">
      <c r="A36" s="4" t="n">
        <v>6650</v>
      </c>
      <c r="B36" s="4" t="s">
        <v>49</v>
      </c>
      <c r="C36" s="4" t="s">
        <v>38</v>
      </c>
      <c r="D36" s="5" t="n">
        <v>33992</v>
      </c>
      <c r="E36" s="5" t="n">
        <v>40233</v>
      </c>
      <c r="F36" s="5" t="n">
        <v>34403</v>
      </c>
      <c r="G36" s="5" t="n">
        <v>36854</v>
      </c>
      <c r="H36" s="5" t="n">
        <v>32686</v>
      </c>
      <c r="I36" s="5" t="n">
        <v>27253</v>
      </c>
      <c r="J36" s="5" t="n">
        <v>35413</v>
      </c>
      <c r="K36" s="5" t="n">
        <v>34675</v>
      </c>
      <c r="L36" s="5" t="n">
        <v>37928</v>
      </c>
      <c r="M36" s="5" t="n">
        <v>39477</v>
      </c>
      <c r="N36" s="5" t="n">
        <v>40594</v>
      </c>
      <c r="O36" s="5" t="n">
        <v>34646</v>
      </c>
      <c r="P36" s="6" t="n">
        <f aca="false">SUM(D36:O36)</f>
        <v>428154</v>
      </c>
    </row>
    <row r="37" customFormat="false" ht="15" hidden="false" customHeight="false" outlineLevel="0" collapsed="false">
      <c r="A37" s="4" t="n">
        <v>6700</v>
      </c>
      <c r="B37" s="4" t="s">
        <v>50</v>
      </c>
      <c r="C37" s="4" t="s">
        <v>38</v>
      </c>
      <c r="D37" s="5" t="n">
        <v>12500</v>
      </c>
      <c r="E37" s="5" t="n">
        <v>12500</v>
      </c>
      <c r="F37" s="5" t="n">
        <v>12500</v>
      </c>
      <c r="G37" s="5" t="n">
        <v>12500</v>
      </c>
      <c r="H37" s="5" t="n">
        <v>12500</v>
      </c>
      <c r="I37" s="5" t="n">
        <v>12500</v>
      </c>
      <c r="J37" s="5" t="n">
        <v>12500</v>
      </c>
      <c r="K37" s="5" t="n">
        <v>12500</v>
      </c>
      <c r="L37" s="5" t="n">
        <v>12500</v>
      </c>
      <c r="M37" s="5" t="n">
        <v>12500</v>
      </c>
      <c r="N37" s="5" t="n">
        <v>12500</v>
      </c>
      <c r="O37" s="5" t="n">
        <v>12500</v>
      </c>
      <c r="P37" s="6" t="n">
        <f aca="false">SUM(D37:O37)</f>
        <v>150000</v>
      </c>
    </row>
    <row r="38" customFormat="false" ht="15" hidden="false" customHeight="false" outlineLevel="0" collapsed="false">
      <c r="A38" s="3" t="s">
        <v>51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" hidden="false" customHeight="false" outlineLevel="0" collapsed="false">
      <c r="A39" s="4" t="n">
        <v>7000</v>
      </c>
      <c r="B39" s="4" t="s">
        <v>52</v>
      </c>
      <c r="C39" s="4" t="s">
        <v>51</v>
      </c>
      <c r="D39" s="5" t="n">
        <v>4494</v>
      </c>
      <c r="E39" s="5" t="n">
        <v>4371</v>
      </c>
      <c r="F39" s="5" t="n">
        <v>4455</v>
      </c>
      <c r="G39" s="5" t="n">
        <v>4301</v>
      </c>
      <c r="H39" s="5" t="n">
        <v>4446</v>
      </c>
      <c r="I39" s="5" t="n">
        <v>4718</v>
      </c>
      <c r="J39" s="5" t="n">
        <v>4394</v>
      </c>
      <c r="K39" s="5" t="n">
        <v>4628</v>
      </c>
      <c r="L39" s="5" t="n">
        <v>4480</v>
      </c>
      <c r="M39" s="5" t="n">
        <v>4465</v>
      </c>
      <c r="N39" s="5" t="n">
        <v>4706</v>
      </c>
      <c r="O39" s="5" t="n">
        <v>4723</v>
      </c>
      <c r="P39" s="6" t="n">
        <f aca="false">SUM(D39:O39)</f>
        <v>54181</v>
      </c>
    </row>
    <row r="40" customFormat="false" ht="15" hidden="false" customHeight="false" outlineLevel="0" collapsed="false">
      <c r="A40" s="4" t="n">
        <v>7100</v>
      </c>
      <c r="B40" s="4" t="s">
        <v>53</v>
      </c>
      <c r="C40" s="4" t="s">
        <v>51</v>
      </c>
      <c r="D40" s="5" t="n">
        <v>2067</v>
      </c>
      <c r="E40" s="5" t="n">
        <v>2262</v>
      </c>
      <c r="F40" s="5" t="n">
        <v>1586</v>
      </c>
      <c r="G40" s="5" t="n">
        <v>1756</v>
      </c>
      <c r="H40" s="5" t="n">
        <v>2562</v>
      </c>
      <c r="I40" s="5" t="n">
        <v>2095</v>
      </c>
      <c r="J40" s="5" t="n">
        <v>2051</v>
      </c>
      <c r="K40" s="5" t="n">
        <v>2298</v>
      </c>
      <c r="L40" s="5" t="n">
        <v>1469</v>
      </c>
      <c r="M40" s="5" t="n">
        <v>2101</v>
      </c>
      <c r="N40" s="5" t="n">
        <v>2003</v>
      </c>
      <c r="O40" s="5" t="n">
        <v>2423</v>
      </c>
      <c r="P40" s="6" t="n">
        <f aca="false">SUM(D40:O40)</f>
        <v>24673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5" min="4" style="0" width="14"/>
    <col collapsed="false" customWidth="true" hidden="false" outlineLevel="0" max="16" min="16" style="0" width="16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customFormat="false" ht="15" hidden="false" customHeight="false" outlineLevel="0" collapsed="false">
      <c r="A4" s="3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 t="n">
        <v>1000</v>
      </c>
      <c r="B5" s="4" t="s">
        <v>18</v>
      </c>
      <c r="C5" s="4" t="s">
        <v>17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 t="n">
        <v>1786625</v>
      </c>
      <c r="P5" s="6" t="n">
        <f aca="false">O5</f>
        <v>1786625</v>
      </c>
    </row>
    <row r="6" customFormat="false" ht="15" hidden="false" customHeight="false" outlineLevel="0" collapsed="false">
      <c r="A6" s="4" t="n">
        <v>1100</v>
      </c>
      <c r="B6" s="4" t="s">
        <v>19</v>
      </c>
      <c r="C6" s="4" t="s">
        <v>17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 t="n">
        <v>1485431</v>
      </c>
      <c r="P6" s="6" t="n">
        <f aca="false">O6</f>
        <v>1485431</v>
      </c>
    </row>
    <row r="7" customFormat="false" ht="15" hidden="false" customHeight="false" outlineLevel="0" collapsed="false">
      <c r="A7" s="4" t="n">
        <v>1200</v>
      </c>
      <c r="B7" s="4" t="s">
        <v>20</v>
      </c>
      <c r="C7" s="4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 t="n">
        <v>91011</v>
      </c>
      <c r="P7" s="6" t="n">
        <f aca="false">O7</f>
        <v>91011</v>
      </c>
    </row>
    <row r="8" customFormat="false" ht="15" hidden="false" customHeight="false" outlineLevel="0" collapsed="false">
      <c r="A8" s="4" t="n">
        <v>1500</v>
      </c>
      <c r="B8" s="4" t="s">
        <v>21</v>
      </c>
      <c r="C8" s="4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 t="n">
        <v>561778</v>
      </c>
      <c r="P8" s="6" t="n">
        <f aca="false">O8</f>
        <v>561778</v>
      </c>
    </row>
    <row r="9" customFormat="false" ht="15" hidden="false" customHeight="false" outlineLevel="0" collapsed="false">
      <c r="A9" s="3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false" outlineLevel="0" collapsed="false">
      <c r="A10" s="4" t="n">
        <v>2000</v>
      </c>
      <c r="B10" s="4" t="s">
        <v>23</v>
      </c>
      <c r="C10" s="4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 t="n">
        <v>312946</v>
      </c>
      <c r="P10" s="6" t="n">
        <f aca="false">O10</f>
        <v>312946</v>
      </c>
    </row>
    <row r="11" customFormat="false" ht="15" hidden="false" customHeight="false" outlineLevel="0" collapsed="false">
      <c r="A11" s="4" t="n">
        <v>2100</v>
      </c>
      <c r="B11" s="4" t="s">
        <v>24</v>
      </c>
      <c r="C11" s="4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 t="n">
        <v>188241</v>
      </c>
      <c r="P11" s="6" t="n">
        <f aca="false">O11</f>
        <v>188241</v>
      </c>
    </row>
    <row r="12" customFormat="false" ht="15" hidden="false" customHeight="false" outlineLevel="0" collapsed="false">
      <c r="A12" s="4" t="n">
        <v>2150</v>
      </c>
      <c r="B12" s="4" t="s">
        <v>25</v>
      </c>
      <c r="C12" s="4" t="s">
        <v>22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 t="n">
        <v>214174</v>
      </c>
      <c r="P12" s="6" t="n">
        <f aca="false">O12</f>
        <v>214174</v>
      </c>
    </row>
    <row r="13" customFormat="false" ht="15" hidden="false" customHeight="false" outlineLevel="0" collapsed="false">
      <c r="A13" s="4" t="n">
        <v>2500</v>
      </c>
      <c r="B13" s="4" t="s">
        <v>26</v>
      </c>
      <c r="C13" s="4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 t="n">
        <v>721491</v>
      </c>
      <c r="P13" s="6" t="n">
        <f aca="false">O13</f>
        <v>721491</v>
      </c>
    </row>
    <row r="14" customFormat="false" ht="15" hidden="false" customHeight="false" outlineLevel="0" collapsed="false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false" outlineLevel="0" collapsed="false">
      <c r="A15" s="4" t="n">
        <v>3000</v>
      </c>
      <c r="B15" s="4" t="s">
        <v>28</v>
      </c>
      <c r="C15" s="4" t="s">
        <v>27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 t="n">
        <v>2057277</v>
      </c>
      <c r="P15" s="6" t="n">
        <f aca="false">O15</f>
        <v>2057277</v>
      </c>
    </row>
    <row r="16" customFormat="false" ht="15" hidden="false" customHeight="false" outlineLevel="0" collapsed="false">
      <c r="A16" s="4" t="n">
        <v>3100</v>
      </c>
      <c r="B16" s="4" t="s">
        <v>29</v>
      </c>
      <c r="C16" s="4" t="s">
        <v>27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 t="n">
        <v>487311</v>
      </c>
      <c r="P16" s="6" t="n">
        <f aca="false">O16</f>
        <v>487311</v>
      </c>
    </row>
    <row r="17" customFormat="false" ht="15" hidden="false" customHeight="false" outlineLevel="0" collapsed="false">
      <c r="A17" s="3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4" t="n">
        <v>4000</v>
      </c>
      <c r="B18" s="4" t="s">
        <v>31</v>
      </c>
      <c r="C18" s="4" t="s">
        <v>30</v>
      </c>
      <c r="D18" s="5" t="n">
        <v>468944</v>
      </c>
      <c r="E18" s="5" t="n">
        <v>455546</v>
      </c>
      <c r="F18" s="5" t="n">
        <v>446613</v>
      </c>
      <c r="G18" s="5" t="n">
        <v>424283</v>
      </c>
      <c r="H18" s="5" t="n">
        <v>410884</v>
      </c>
      <c r="I18" s="5" t="n">
        <v>401952</v>
      </c>
      <c r="J18" s="5" t="n">
        <v>393020</v>
      </c>
      <c r="K18" s="5" t="n">
        <v>401952</v>
      </c>
      <c r="L18" s="5" t="n">
        <v>424283</v>
      </c>
      <c r="M18" s="5" t="n">
        <v>446613</v>
      </c>
      <c r="N18" s="5" t="n">
        <v>468944</v>
      </c>
      <c r="O18" s="5" t="n">
        <v>491275</v>
      </c>
      <c r="P18" s="6" t="n">
        <f aca="false">SUM(D18:O18)</f>
        <v>5234309</v>
      </c>
    </row>
    <row r="19" customFormat="false" ht="15" hidden="false" customHeight="false" outlineLevel="0" collapsed="false">
      <c r="A19" s="4" t="n">
        <v>4100</v>
      </c>
      <c r="B19" s="4" t="s">
        <v>32</v>
      </c>
      <c r="C19" s="4" t="s">
        <v>30</v>
      </c>
      <c r="D19" s="5" t="n">
        <v>268990</v>
      </c>
      <c r="E19" s="5" t="n">
        <v>261305</v>
      </c>
      <c r="F19" s="5" t="n">
        <v>256181</v>
      </c>
      <c r="G19" s="5" t="n">
        <v>243372</v>
      </c>
      <c r="H19" s="5" t="n">
        <v>235687</v>
      </c>
      <c r="I19" s="5" t="n">
        <v>230563</v>
      </c>
      <c r="J19" s="5" t="n">
        <v>225439</v>
      </c>
      <c r="K19" s="5" t="n">
        <v>230563</v>
      </c>
      <c r="L19" s="5" t="n">
        <v>243372</v>
      </c>
      <c r="M19" s="5" t="n">
        <v>256181</v>
      </c>
      <c r="N19" s="5" t="n">
        <v>268990</v>
      </c>
      <c r="O19" s="5" t="n">
        <v>281799</v>
      </c>
      <c r="P19" s="6" t="n">
        <f aca="false">SUM(D19:O19)</f>
        <v>3002442</v>
      </c>
    </row>
    <row r="20" customFormat="false" ht="15" hidden="false" customHeight="false" outlineLevel="0" collapsed="false">
      <c r="A20" s="4" t="n">
        <v>4200</v>
      </c>
      <c r="B20" s="4" t="s">
        <v>33</v>
      </c>
      <c r="C20" s="4" t="s">
        <v>30</v>
      </c>
      <c r="D20" s="5" t="n">
        <v>191014</v>
      </c>
      <c r="E20" s="5" t="n">
        <v>185556</v>
      </c>
      <c r="F20" s="5" t="n">
        <v>181918</v>
      </c>
      <c r="G20" s="5" t="n">
        <v>172822</v>
      </c>
      <c r="H20" s="5" t="n">
        <v>167365</v>
      </c>
      <c r="I20" s="5" t="n">
        <v>163726</v>
      </c>
      <c r="J20" s="5" t="n">
        <v>160088</v>
      </c>
      <c r="K20" s="5" t="n">
        <v>163726</v>
      </c>
      <c r="L20" s="5" t="n">
        <v>172822</v>
      </c>
      <c r="M20" s="5" t="n">
        <v>181918</v>
      </c>
      <c r="N20" s="5" t="n">
        <v>191014</v>
      </c>
      <c r="O20" s="5" t="n">
        <v>200110</v>
      </c>
      <c r="P20" s="6" t="n">
        <f aca="false">SUM(D20:O20)</f>
        <v>2132079</v>
      </c>
    </row>
    <row r="21" customFormat="false" ht="15" hidden="false" customHeight="false" outlineLevel="0" collapsed="false">
      <c r="A21" s="3" t="s">
        <v>34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" hidden="false" customHeight="false" outlineLevel="0" collapsed="false">
      <c r="A22" s="4" t="n">
        <v>5000</v>
      </c>
      <c r="B22" s="4" t="s">
        <v>35</v>
      </c>
      <c r="C22" s="4" t="s">
        <v>34</v>
      </c>
      <c r="D22" s="5" t="n">
        <v>182893</v>
      </c>
      <c r="E22" s="5" t="n">
        <v>177668</v>
      </c>
      <c r="F22" s="5" t="n">
        <v>174184</v>
      </c>
      <c r="G22" s="5" t="n">
        <v>165475</v>
      </c>
      <c r="H22" s="5" t="n">
        <v>160250</v>
      </c>
      <c r="I22" s="5" t="n">
        <v>156766</v>
      </c>
      <c r="J22" s="5" t="n">
        <v>153282</v>
      </c>
      <c r="K22" s="5" t="n">
        <v>156766</v>
      </c>
      <c r="L22" s="5" t="n">
        <v>165475</v>
      </c>
      <c r="M22" s="5" t="n">
        <v>174184</v>
      </c>
      <c r="N22" s="5" t="n">
        <v>182893</v>
      </c>
      <c r="O22" s="5" t="n">
        <v>191603</v>
      </c>
      <c r="P22" s="6" t="n">
        <f aca="false">SUM(D22:O22)</f>
        <v>2041439</v>
      </c>
    </row>
    <row r="23" customFormat="false" ht="15" hidden="false" customHeight="false" outlineLevel="0" collapsed="false">
      <c r="A23" s="4" t="n">
        <v>5100</v>
      </c>
      <c r="B23" s="4" t="s">
        <v>36</v>
      </c>
      <c r="C23" s="4" t="s">
        <v>34</v>
      </c>
      <c r="D23" s="5" t="n">
        <v>77546</v>
      </c>
      <c r="E23" s="5" t="n">
        <v>75330</v>
      </c>
      <c r="F23" s="5" t="n">
        <v>73853</v>
      </c>
      <c r="G23" s="5" t="n">
        <v>70160</v>
      </c>
      <c r="H23" s="5" t="n">
        <v>67945</v>
      </c>
      <c r="I23" s="5" t="n">
        <v>66468</v>
      </c>
      <c r="J23" s="5" t="n">
        <v>64991</v>
      </c>
      <c r="K23" s="5" t="n">
        <v>66468</v>
      </c>
      <c r="L23" s="5" t="n">
        <v>70160</v>
      </c>
      <c r="M23" s="5" t="n">
        <v>73853</v>
      </c>
      <c r="N23" s="5" t="n">
        <v>77546</v>
      </c>
      <c r="O23" s="5" t="n">
        <v>81238</v>
      </c>
      <c r="P23" s="6" t="n">
        <f aca="false">SUM(D23:O23)</f>
        <v>865558</v>
      </c>
    </row>
    <row r="24" customFormat="false" ht="15" hidden="false" customHeight="false" outlineLevel="0" collapsed="false">
      <c r="A24" s="4" t="n">
        <v>5200</v>
      </c>
      <c r="B24" s="4" t="s">
        <v>37</v>
      </c>
      <c r="C24" s="4" t="s">
        <v>34</v>
      </c>
      <c r="D24" s="5" t="n">
        <v>26011</v>
      </c>
      <c r="E24" s="5" t="n">
        <v>25268</v>
      </c>
      <c r="F24" s="5" t="n">
        <v>24773</v>
      </c>
      <c r="G24" s="5" t="n">
        <v>23534</v>
      </c>
      <c r="H24" s="5" t="n">
        <v>22791</v>
      </c>
      <c r="I24" s="5" t="n">
        <v>22295</v>
      </c>
      <c r="J24" s="5" t="n">
        <v>21800</v>
      </c>
      <c r="K24" s="5" t="n">
        <v>22295</v>
      </c>
      <c r="L24" s="5" t="n">
        <v>23534</v>
      </c>
      <c r="M24" s="5" t="n">
        <v>24773</v>
      </c>
      <c r="N24" s="5" t="n">
        <v>26011</v>
      </c>
      <c r="O24" s="5" t="n">
        <v>27250</v>
      </c>
      <c r="P24" s="6" t="n">
        <f aca="false">SUM(D24:O24)</f>
        <v>290335</v>
      </c>
    </row>
    <row r="25" customFormat="false" ht="15" hidden="false" customHeight="false" outlineLevel="0" collapsed="false">
      <c r="A25" s="3" t="s">
        <v>38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false" outlineLevel="0" collapsed="false">
      <c r="A26" s="4" t="n">
        <v>6100</v>
      </c>
      <c r="B26" s="4" t="s">
        <v>39</v>
      </c>
      <c r="C26" s="4" t="s">
        <v>38</v>
      </c>
      <c r="D26" s="5" t="n">
        <v>236131</v>
      </c>
      <c r="E26" s="5" t="n">
        <v>229384</v>
      </c>
      <c r="F26" s="5" t="n">
        <v>224886</v>
      </c>
      <c r="G26" s="5" t="n">
        <v>213642</v>
      </c>
      <c r="H26" s="5" t="n">
        <v>206895</v>
      </c>
      <c r="I26" s="5" t="n">
        <v>202398</v>
      </c>
      <c r="J26" s="5" t="n">
        <v>197900</v>
      </c>
      <c r="K26" s="5" t="n">
        <v>202398</v>
      </c>
      <c r="L26" s="5" t="n">
        <v>213642</v>
      </c>
      <c r="M26" s="5" t="n">
        <v>224886</v>
      </c>
      <c r="N26" s="5" t="n">
        <v>236131</v>
      </c>
      <c r="O26" s="5" t="n">
        <v>247375</v>
      </c>
      <c r="P26" s="6" t="n">
        <f aca="false">SUM(D26:O26)</f>
        <v>2635668</v>
      </c>
    </row>
    <row r="27" customFormat="false" ht="15" hidden="false" customHeight="false" outlineLevel="0" collapsed="false">
      <c r="A27" s="4" t="n">
        <v>6200</v>
      </c>
      <c r="B27" s="4" t="s">
        <v>40</v>
      </c>
      <c r="C27" s="4" t="s">
        <v>38</v>
      </c>
      <c r="D27" s="5" t="n">
        <v>36668</v>
      </c>
      <c r="E27" s="5" t="n">
        <v>35620</v>
      </c>
      <c r="F27" s="5" t="n">
        <v>34922</v>
      </c>
      <c r="G27" s="5" t="n">
        <v>33176</v>
      </c>
      <c r="H27" s="5" t="n">
        <v>32128</v>
      </c>
      <c r="I27" s="5" t="n">
        <v>31430</v>
      </c>
      <c r="J27" s="5" t="n">
        <v>30731</v>
      </c>
      <c r="K27" s="5" t="n">
        <v>31430</v>
      </c>
      <c r="L27" s="5" t="n">
        <v>33176</v>
      </c>
      <c r="M27" s="5" t="n">
        <v>34922</v>
      </c>
      <c r="N27" s="5" t="n">
        <v>36668</v>
      </c>
      <c r="O27" s="5" t="n">
        <v>38414</v>
      </c>
      <c r="P27" s="6" t="n">
        <f aca="false">SUM(D27:O27)</f>
        <v>409285</v>
      </c>
    </row>
    <row r="28" customFormat="false" ht="15" hidden="false" customHeight="false" outlineLevel="0" collapsed="false">
      <c r="A28" s="4" t="n">
        <v>6300</v>
      </c>
      <c r="B28" s="4" t="s">
        <v>41</v>
      </c>
      <c r="C28" s="4" t="s">
        <v>38</v>
      </c>
      <c r="D28" s="5" t="n">
        <v>37684</v>
      </c>
      <c r="E28" s="5" t="n">
        <v>36607</v>
      </c>
      <c r="F28" s="5" t="n">
        <v>35889</v>
      </c>
      <c r="G28" s="5" t="n">
        <v>34095</v>
      </c>
      <c r="H28" s="5" t="n">
        <v>33018</v>
      </c>
      <c r="I28" s="5" t="n">
        <v>32300</v>
      </c>
      <c r="J28" s="5" t="n">
        <v>31582</v>
      </c>
      <c r="K28" s="5" t="n">
        <v>32300</v>
      </c>
      <c r="L28" s="5" t="n">
        <v>34095</v>
      </c>
      <c r="M28" s="5" t="n">
        <v>35889</v>
      </c>
      <c r="N28" s="5" t="n">
        <v>37684</v>
      </c>
      <c r="O28" s="5" t="n">
        <v>39478</v>
      </c>
      <c r="P28" s="6" t="n">
        <f aca="false">SUM(D28:O28)</f>
        <v>420621</v>
      </c>
    </row>
    <row r="29" customFormat="false" ht="15" hidden="false" customHeight="false" outlineLevel="0" collapsed="false">
      <c r="A29" s="4" t="n">
        <v>6400</v>
      </c>
      <c r="B29" s="4" t="s">
        <v>42</v>
      </c>
      <c r="C29" s="4" t="s">
        <v>38</v>
      </c>
      <c r="D29" s="5" t="n">
        <v>18061</v>
      </c>
      <c r="E29" s="5" t="n">
        <v>17545</v>
      </c>
      <c r="F29" s="5" t="n">
        <v>17201</v>
      </c>
      <c r="G29" s="5" t="n">
        <v>16341</v>
      </c>
      <c r="H29" s="5" t="n">
        <v>15825</v>
      </c>
      <c r="I29" s="5" t="n">
        <v>15481</v>
      </c>
      <c r="J29" s="5" t="n">
        <v>15137</v>
      </c>
      <c r="K29" s="5" t="n">
        <v>15481</v>
      </c>
      <c r="L29" s="5" t="n">
        <v>16341</v>
      </c>
      <c r="M29" s="5" t="n">
        <v>17201</v>
      </c>
      <c r="N29" s="5" t="n">
        <v>18061</v>
      </c>
      <c r="O29" s="5" t="n">
        <v>18921</v>
      </c>
      <c r="P29" s="6" t="n">
        <f aca="false">SUM(D29:O29)</f>
        <v>201596</v>
      </c>
    </row>
    <row r="30" customFormat="false" ht="15" hidden="false" customHeight="false" outlineLevel="0" collapsed="false">
      <c r="A30" s="4" t="n">
        <v>6500</v>
      </c>
      <c r="B30" s="4" t="s">
        <v>43</v>
      </c>
      <c r="C30" s="4" t="s">
        <v>38</v>
      </c>
      <c r="D30" s="5" t="n">
        <v>15734</v>
      </c>
      <c r="E30" s="5" t="n">
        <v>15285</v>
      </c>
      <c r="F30" s="5" t="n">
        <v>14985</v>
      </c>
      <c r="G30" s="5" t="n">
        <v>14236</v>
      </c>
      <c r="H30" s="5" t="n">
        <v>13786</v>
      </c>
      <c r="I30" s="5" t="n">
        <v>13487</v>
      </c>
      <c r="J30" s="5" t="n">
        <v>13187</v>
      </c>
      <c r="K30" s="5" t="n">
        <v>13487</v>
      </c>
      <c r="L30" s="5" t="n">
        <v>14236</v>
      </c>
      <c r="M30" s="5" t="n">
        <v>14985</v>
      </c>
      <c r="N30" s="5" t="n">
        <v>15734</v>
      </c>
      <c r="O30" s="5" t="n">
        <v>16484</v>
      </c>
      <c r="P30" s="6" t="n">
        <f aca="false">SUM(D30:O30)</f>
        <v>175626</v>
      </c>
    </row>
    <row r="31" customFormat="false" ht="15" hidden="false" customHeight="false" outlineLevel="0" collapsed="false">
      <c r="A31" s="4" t="n">
        <v>6600</v>
      </c>
      <c r="B31" s="4" t="s">
        <v>44</v>
      </c>
      <c r="C31" s="4" t="s">
        <v>38</v>
      </c>
      <c r="D31" s="5" t="n">
        <v>26335</v>
      </c>
      <c r="E31" s="5" t="n">
        <v>25582</v>
      </c>
      <c r="F31" s="5" t="n">
        <v>25081</v>
      </c>
      <c r="G31" s="5" t="n">
        <v>23827</v>
      </c>
      <c r="H31" s="5" t="n">
        <v>23074</v>
      </c>
      <c r="I31" s="5" t="n">
        <v>22573</v>
      </c>
      <c r="J31" s="5" t="n">
        <v>22071</v>
      </c>
      <c r="K31" s="5" t="n">
        <v>22573</v>
      </c>
      <c r="L31" s="5" t="n">
        <v>23827</v>
      </c>
      <c r="M31" s="5" t="n">
        <v>25081</v>
      </c>
      <c r="N31" s="5" t="n">
        <v>26335</v>
      </c>
      <c r="O31" s="5" t="n">
        <v>27589</v>
      </c>
      <c r="P31" s="6" t="n">
        <f aca="false">SUM(D31:O31)</f>
        <v>293948</v>
      </c>
    </row>
    <row r="32" customFormat="false" ht="15" hidden="false" customHeight="false" outlineLevel="0" collapsed="false">
      <c r="A32" s="4" t="n">
        <v>6610</v>
      </c>
      <c r="B32" s="4" t="s">
        <v>45</v>
      </c>
      <c r="C32" s="4" t="s">
        <v>38</v>
      </c>
      <c r="D32" s="5" t="n">
        <v>8222</v>
      </c>
      <c r="E32" s="5" t="n">
        <v>7987</v>
      </c>
      <c r="F32" s="5" t="n">
        <v>7830</v>
      </c>
      <c r="G32" s="5" t="n">
        <v>7439</v>
      </c>
      <c r="H32" s="5" t="n">
        <v>7204</v>
      </c>
      <c r="I32" s="5" t="n">
        <v>7047</v>
      </c>
      <c r="J32" s="5" t="n">
        <v>6891</v>
      </c>
      <c r="K32" s="5" t="n">
        <v>7047</v>
      </c>
      <c r="L32" s="5" t="n">
        <v>7439</v>
      </c>
      <c r="M32" s="5" t="n">
        <v>7830</v>
      </c>
      <c r="N32" s="5" t="n">
        <v>8222</v>
      </c>
      <c r="O32" s="5" t="n">
        <v>8613</v>
      </c>
      <c r="P32" s="6" t="n">
        <f aca="false">SUM(D32:O32)</f>
        <v>91771</v>
      </c>
    </row>
    <row r="33" customFormat="false" ht="15" hidden="false" customHeight="false" outlineLevel="0" collapsed="false">
      <c r="A33" s="4" t="n">
        <v>6620</v>
      </c>
      <c r="B33" s="4" t="s">
        <v>46</v>
      </c>
      <c r="C33" s="4" t="s">
        <v>38</v>
      </c>
      <c r="D33" s="5" t="n">
        <v>3588</v>
      </c>
      <c r="E33" s="5" t="n">
        <v>3485</v>
      </c>
      <c r="F33" s="5" t="n">
        <v>3417</v>
      </c>
      <c r="G33" s="5" t="n">
        <v>3246</v>
      </c>
      <c r="H33" s="5" t="n">
        <v>3144</v>
      </c>
      <c r="I33" s="5" t="n">
        <v>3075</v>
      </c>
      <c r="J33" s="5" t="n">
        <v>3007</v>
      </c>
      <c r="K33" s="5" t="n">
        <v>3075</v>
      </c>
      <c r="L33" s="5" t="n">
        <v>3246</v>
      </c>
      <c r="M33" s="5" t="n">
        <v>3417</v>
      </c>
      <c r="N33" s="5" t="n">
        <v>3588</v>
      </c>
      <c r="O33" s="5" t="n">
        <v>3759</v>
      </c>
      <c r="P33" s="6" t="n">
        <f aca="false">SUM(D33:O33)</f>
        <v>40047</v>
      </c>
    </row>
    <row r="34" customFormat="false" ht="15" hidden="false" customHeight="false" outlineLevel="0" collapsed="false">
      <c r="A34" s="4" t="n">
        <v>6630</v>
      </c>
      <c r="B34" s="4" t="s">
        <v>47</v>
      </c>
      <c r="C34" s="4" t="s">
        <v>38</v>
      </c>
      <c r="D34" s="5" t="n">
        <v>6290</v>
      </c>
      <c r="E34" s="5" t="n">
        <v>6110</v>
      </c>
      <c r="F34" s="5" t="n">
        <v>5990</v>
      </c>
      <c r="G34" s="5" t="n">
        <v>5691</v>
      </c>
      <c r="H34" s="5" t="n">
        <v>5511</v>
      </c>
      <c r="I34" s="5" t="n">
        <v>5391</v>
      </c>
      <c r="J34" s="5" t="n">
        <v>5272</v>
      </c>
      <c r="K34" s="5" t="n">
        <v>5391</v>
      </c>
      <c r="L34" s="5" t="n">
        <v>5691</v>
      </c>
      <c r="M34" s="5" t="n">
        <v>5990</v>
      </c>
      <c r="N34" s="5" t="n">
        <v>6290</v>
      </c>
      <c r="O34" s="5" t="n">
        <v>6590</v>
      </c>
      <c r="P34" s="6" t="n">
        <f aca="false">SUM(D34:O34)</f>
        <v>70207</v>
      </c>
    </row>
    <row r="35" customFormat="false" ht="15" hidden="false" customHeight="false" outlineLevel="0" collapsed="false">
      <c r="A35" s="4" t="n">
        <v>6640</v>
      </c>
      <c r="B35" s="4" t="s">
        <v>48</v>
      </c>
      <c r="C35" s="4" t="s">
        <v>38</v>
      </c>
      <c r="D35" s="5" t="n">
        <v>1253</v>
      </c>
      <c r="E35" s="5" t="n">
        <v>1218</v>
      </c>
      <c r="F35" s="5" t="n">
        <v>1194</v>
      </c>
      <c r="G35" s="5" t="n">
        <v>1134</v>
      </c>
      <c r="H35" s="5" t="n">
        <v>1098</v>
      </c>
      <c r="I35" s="5" t="n">
        <v>1074</v>
      </c>
      <c r="J35" s="5" t="n">
        <v>1050</v>
      </c>
      <c r="K35" s="5" t="n">
        <v>1074</v>
      </c>
      <c r="L35" s="5" t="n">
        <v>1134</v>
      </c>
      <c r="M35" s="5" t="n">
        <v>1194</v>
      </c>
      <c r="N35" s="5" t="n">
        <v>1253</v>
      </c>
      <c r="O35" s="5" t="n">
        <v>1313</v>
      </c>
      <c r="P35" s="6" t="n">
        <f aca="false">SUM(D35:O35)</f>
        <v>13989</v>
      </c>
    </row>
    <row r="36" customFormat="false" ht="15" hidden="false" customHeight="false" outlineLevel="0" collapsed="false">
      <c r="A36" s="4" t="n">
        <v>6650</v>
      </c>
      <c r="B36" s="4" t="s">
        <v>49</v>
      </c>
      <c r="C36" s="4" t="s">
        <v>38</v>
      </c>
      <c r="D36" s="5" t="n">
        <v>31844</v>
      </c>
      <c r="E36" s="5" t="n">
        <v>30934</v>
      </c>
      <c r="F36" s="5" t="n">
        <v>30328</v>
      </c>
      <c r="G36" s="5" t="n">
        <v>28811</v>
      </c>
      <c r="H36" s="5" t="n">
        <v>27901</v>
      </c>
      <c r="I36" s="5" t="n">
        <v>27295</v>
      </c>
      <c r="J36" s="5" t="n">
        <v>26688</v>
      </c>
      <c r="K36" s="5" t="n">
        <v>27295</v>
      </c>
      <c r="L36" s="5" t="n">
        <v>28811</v>
      </c>
      <c r="M36" s="5" t="n">
        <v>30328</v>
      </c>
      <c r="N36" s="5" t="n">
        <v>31844</v>
      </c>
      <c r="O36" s="5" t="n">
        <v>33360</v>
      </c>
      <c r="P36" s="6" t="n">
        <f aca="false">SUM(D36:O36)</f>
        <v>355439</v>
      </c>
    </row>
    <row r="37" customFormat="false" ht="15" hidden="false" customHeight="false" outlineLevel="0" collapsed="false">
      <c r="A37" s="4" t="n">
        <v>6700</v>
      </c>
      <c r="B37" s="4" t="s">
        <v>50</v>
      </c>
      <c r="C37" s="4" t="s">
        <v>38</v>
      </c>
      <c r="D37" s="5" t="n">
        <v>13125</v>
      </c>
      <c r="E37" s="5" t="n">
        <v>12750</v>
      </c>
      <c r="F37" s="5" t="n">
        <v>12500</v>
      </c>
      <c r="G37" s="5" t="n">
        <v>11875</v>
      </c>
      <c r="H37" s="5" t="n">
        <v>11500</v>
      </c>
      <c r="I37" s="5" t="n">
        <v>11250</v>
      </c>
      <c r="J37" s="5" t="n">
        <v>11000</v>
      </c>
      <c r="K37" s="5" t="n">
        <v>11250</v>
      </c>
      <c r="L37" s="5" t="n">
        <v>11875</v>
      </c>
      <c r="M37" s="5" t="n">
        <v>12500</v>
      </c>
      <c r="N37" s="5" t="n">
        <v>13125</v>
      </c>
      <c r="O37" s="5" t="n">
        <v>13750</v>
      </c>
      <c r="P37" s="6" t="n">
        <f aca="false">SUM(D37:O37)</f>
        <v>146500</v>
      </c>
    </row>
    <row r="38" customFormat="false" ht="15" hidden="false" customHeight="false" outlineLevel="0" collapsed="false">
      <c r="A38" s="3" t="s">
        <v>51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" hidden="false" customHeight="false" outlineLevel="0" collapsed="false">
      <c r="A39" s="4" t="n">
        <v>7000</v>
      </c>
      <c r="B39" s="4" t="s">
        <v>52</v>
      </c>
      <c r="C39" s="4" t="s">
        <v>51</v>
      </c>
      <c r="D39" s="5" t="n">
        <v>4515</v>
      </c>
      <c r="E39" s="5" t="n">
        <v>4515</v>
      </c>
      <c r="F39" s="5" t="n">
        <v>4515</v>
      </c>
      <c r="G39" s="5" t="n">
        <v>4515</v>
      </c>
      <c r="H39" s="5" t="n">
        <v>4515</v>
      </c>
      <c r="I39" s="5" t="n">
        <v>4515</v>
      </c>
      <c r="J39" s="5" t="n">
        <v>4515</v>
      </c>
      <c r="K39" s="5" t="n">
        <v>4515</v>
      </c>
      <c r="L39" s="5" t="n">
        <v>4515</v>
      </c>
      <c r="M39" s="5" t="n">
        <v>4515</v>
      </c>
      <c r="N39" s="5" t="n">
        <v>4515</v>
      </c>
      <c r="O39" s="5" t="n">
        <v>4515</v>
      </c>
      <c r="P39" s="6" t="n">
        <f aca="false">SUM(D39:O39)</f>
        <v>54180</v>
      </c>
    </row>
    <row r="40" customFormat="false" ht="15" hidden="false" customHeight="false" outlineLevel="0" collapsed="false">
      <c r="A40" s="4" t="n">
        <v>7100</v>
      </c>
      <c r="B40" s="4" t="s">
        <v>53</v>
      </c>
      <c r="C40" s="4" t="s">
        <v>51</v>
      </c>
      <c r="D40" s="5" t="n">
        <v>2056</v>
      </c>
      <c r="E40" s="5" t="n">
        <v>2056</v>
      </c>
      <c r="F40" s="5" t="n">
        <v>2056</v>
      </c>
      <c r="G40" s="5" t="n">
        <v>2056</v>
      </c>
      <c r="H40" s="5" t="n">
        <v>2056</v>
      </c>
      <c r="I40" s="5" t="n">
        <v>2056</v>
      </c>
      <c r="J40" s="5" t="n">
        <v>2056</v>
      </c>
      <c r="K40" s="5" t="n">
        <v>2056</v>
      </c>
      <c r="L40" s="5" t="n">
        <v>2056</v>
      </c>
      <c r="M40" s="5" t="n">
        <v>2056</v>
      </c>
      <c r="N40" s="5" t="n">
        <v>2056</v>
      </c>
      <c r="O40" s="5" t="n">
        <v>2056</v>
      </c>
      <c r="P40" s="6" t="n">
        <f aca="false">SUM(D40:O40)</f>
        <v>24672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5" min="4" style="0" width="14"/>
    <col collapsed="false" customWidth="true" hidden="false" outlineLevel="0" max="16" min="16" style="0" width="16"/>
  </cols>
  <sheetData>
    <row r="1" customFormat="false" ht="17.35" hidden="false" customHeight="fals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customFormat="false" ht="15" hidden="false" customHeight="false" outlineLevel="0" collapsed="false">
      <c r="A4" s="3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 t="n">
        <v>1000</v>
      </c>
      <c r="B5" s="4" t="s">
        <v>18</v>
      </c>
      <c r="C5" s="4" t="s">
        <v>17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 t="n">
        <v>1682486</v>
      </c>
      <c r="P5" s="6" t="n">
        <f aca="false">O5</f>
        <v>1682486</v>
      </c>
    </row>
    <row r="6" customFormat="false" ht="15" hidden="false" customHeight="false" outlineLevel="0" collapsed="false">
      <c r="A6" s="4" t="n">
        <v>1100</v>
      </c>
      <c r="B6" s="4" t="s">
        <v>19</v>
      </c>
      <c r="C6" s="4" t="s">
        <v>17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 t="n">
        <v>1294952</v>
      </c>
      <c r="P6" s="6" t="n">
        <f aca="false">O6</f>
        <v>1294952</v>
      </c>
    </row>
    <row r="7" customFormat="false" ht="15" hidden="false" customHeight="false" outlineLevel="0" collapsed="false">
      <c r="A7" s="4" t="n">
        <v>1200</v>
      </c>
      <c r="B7" s="4" t="s">
        <v>20</v>
      </c>
      <c r="C7" s="4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 t="n">
        <v>84733</v>
      </c>
      <c r="P7" s="6" t="n">
        <f aca="false">O7</f>
        <v>84733</v>
      </c>
    </row>
    <row r="8" customFormat="false" ht="15" hidden="false" customHeight="false" outlineLevel="0" collapsed="false">
      <c r="A8" s="4" t="n">
        <v>1500</v>
      </c>
      <c r="B8" s="4" t="s">
        <v>21</v>
      </c>
      <c r="C8" s="4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 t="n">
        <v>526853</v>
      </c>
      <c r="P8" s="6" t="n">
        <f aca="false">O8</f>
        <v>526853</v>
      </c>
    </row>
    <row r="9" customFormat="false" ht="15" hidden="false" customHeight="false" outlineLevel="0" collapsed="false">
      <c r="A9" s="3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false" outlineLevel="0" collapsed="false">
      <c r="A10" s="4" t="n">
        <v>2000</v>
      </c>
      <c r="B10" s="4" t="s">
        <v>23</v>
      </c>
      <c r="C10" s="4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 t="n">
        <v>279706</v>
      </c>
      <c r="P10" s="6" t="n">
        <f aca="false">O10</f>
        <v>279706</v>
      </c>
    </row>
    <row r="11" customFormat="false" ht="15" hidden="false" customHeight="false" outlineLevel="0" collapsed="false">
      <c r="A11" s="4" t="n">
        <v>2100</v>
      </c>
      <c r="B11" s="4" t="s">
        <v>24</v>
      </c>
      <c r="C11" s="4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 t="n">
        <v>174542</v>
      </c>
      <c r="P11" s="6" t="n">
        <f aca="false">O11</f>
        <v>174542</v>
      </c>
    </row>
    <row r="12" customFormat="false" ht="15" hidden="false" customHeight="false" outlineLevel="0" collapsed="false">
      <c r="A12" s="4" t="n">
        <v>2150</v>
      </c>
      <c r="B12" s="4" t="s">
        <v>25</v>
      </c>
      <c r="C12" s="4" t="s">
        <v>22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 t="n">
        <v>191494</v>
      </c>
      <c r="P12" s="6" t="n">
        <f aca="false">O12</f>
        <v>191494</v>
      </c>
    </row>
    <row r="13" customFormat="false" ht="15" hidden="false" customHeight="false" outlineLevel="0" collapsed="false">
      <c r="A13" s="4" t="n">
        <v>2500</v>
      </c>
      <c r="B13" s="4" t="s">
        <v>26</v>
      </c>
      <c r="C13" s="4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 t="n">
        <v>691214</v>
      </c>
      <c r="P13" s="6" t="n">
        <f aca="false">O13</f>
        <v>691214</v>
      </c>
    </row>
    <row r="14" customFormat="false" ht="15" hidden="false" customHeight="false" outlineLevel="0" collapsed="false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false" outlineLevel="0" collapsed="false">
      <c r="A15" s="4" t="n">
        <v>3000</v>
      </c>
      <c r="B15" s="4" t="s">
        <v>28</v>
      </c>
      <c r="C15" s="4" t="s">
        <v>27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 t="n">
        <v>1730260</v>
      </c>
      <c r="P15" s="6" t="n">
        <f aca="false">O15</f>
        <v>1730260</v>
      </c>
    </row>
    <row r="16" customFormat="false" ht="15" hidden="false" customHeight="false" outlineLevel="0" collapsed="false">
      <c r="A16" s="4" t="n">
        <v>3100</v>
      </c>
      <c r="B16" s="4" t="s">
        <v>29</v>
      </c>
      <c r="C16" s="4" t="s">
        <v>27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 t="n">
        <v>444789</v>
      </c>
      <c r="P16" s="6" t="n">
        <f aca="false">O16</f>
        <v>444789</v>
      </c>
    </row>
    <row r="17" customFormat="false" ht="15" hidden="false" customHeight="false" outlineLevel="0" collapsed="false">
      <c r="A17" s="3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4" t="n">
        <v>4000</v>
      </c>
      <c r="B18" s="4" t="s">
        <v>31</v>
      </c>
      <c r="C18" s="4" t="s">
        <v>30</v>
      </c>
      <c r="D18" s="5" t="n">
        <v>441672</v>
      </c>
      <c r="E18" s="5" t="n">
        <v>389156</v>
      </c>
      <c r="F18" s="5" t="n">
        <v>394051</v>
      </c>
      <c r="G18" s="5" t="n">
        <v>381788</v>
      </c>
      <c r="H18" s="5" t="n">
        <v>377494</v>
      </c>
      <c r="I18" s="5" t="n">
        <v>375423</v>
      </c>
      <c r="J18" s="5" t="n">
        <v>388603</v>
      </c>
      <c r="K18" s="5" t="n">
        <v>360708</v>
      </c>
      <c r="L18" s="5" t="n">
        <v>375513</v>
      </c>
      <c r="M18" s="5" t="n">
        <v>379744</v>
      </c>
      <c r="N18" s="5" t="n">
        <v>409605</v>
      </c>
      <c r="O18" s="5" t="n">
        <v>462457</v>
      </c>
      <c r="P18" s="6" t="n">
        <f aca="false">SUM(D18:O18)</f>
        <v>4736214</v>
      </c>
    </row>
    <row r="19" customFormat="false" ht="15" hidden="false" customHeight="false" outlineLevel="0" collapsed="false">
      <c r="A19" s="4" t="n">
        <v>4100</v>
      </c>
      <c r="B19" s="4" t="s">
        <v>32</v>
      </c>
      <c r="C19" s="4" t="s">
        <v>30</v>
      </c>
      <c r="D19" s="5" t="n">
        <v>244585</v>
      </c>
      <c r="E19" s="5" t="n">
        <v>244661</v>
      </c>
      <c r="F19" s="5" t="n">
        <v>250334</v>
      </c>
      <c r="G19" s="5" t="n">
        <v>230922</v>
      </c>
      <c r="H19" s="5" t="n">
        <v>220885</v>
      </c>
      <c r="I19" s="5" t="n">
        <v>227674</v>
      </c>
      <c r="J19" s="5" t="n">
        <v>229092</v>
      </c>
      <c r="K19" s="5" t="n">
        <v>210221</v>
      </c>
      <c r="L19" s="5" t="n">
        <v>247802</v>
      </c>
      <c r="M19" s="5" t="n">
        <v>246705</v>
      </c>
      <c r="N19" s="5" t="n">
        <v>256903</v>
      </c>
      <c r="O19" s="5" t="n">
        <v>253017</v>
      </c>
      <c r="P19" s="6" t="n">
        <f aca="false">SUM(D19:O19)</f>
        <v>2862801</v>
      </c>
    </row>
    <row r="20" customFormat="false" ht="15" hidden="false" customHeight="false" outlineLevel="0" collapsed="false">
      <c r="A20" s="4" t="n">
        <v>4200</v>
      </c>
      <c r="B20" s="4" t="s">
        <v>33</v>
      </c>
      <c r="C20" s="4" t="s">
        <v>30</v>
      </c>
      <c r="D20" s="5" t="n">
        <v>167223</v>
      </c>
      <c r="E20" s="5" t="n">
        <v>146328</v>
      </c>
      <c r="F20" s="5" t="n">
        <v>129818</v>
      </c>
      <c r="G20" s="5" t="n">
        <v>123291</v>
      </c>
      <c r="H20" s="5" t="n">
        <v>138827</v>
      </c>
      <c r="I20" s="5" t="n">
        <v>133172</v>
      </c>
      <c r="J20" s="5" t="n">
        <v>133127</v>
      </c>
      <c r="K20" s="5" t="n">
        <v>136881</v>
      </c>
      <c r="L20" s="5" t="n">
        <v>140075</v>
      </c>
      <c r="M20" s="5" t="n">
        <v>155360</v>
      </c>
      <c r="N20" s="5" t="n">
        <v>149232</v>
      </c>
      <c r="O20" s="5" t="n">
        <v>158330</v>
      </c>
      <c r="P20" s="6" t="n">
        <f aca="false">SUM(D20:O20)</f>
        <v>1711664</v>
      </c>
    </row>
    <row r="21" customFormat="false" ht="15" hidden="false" customHeight="false" outlineLevel="0" collapsed="false">
      <c r="A21" s="3" t="s">
        <v>34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" hidden="false" customHeight="false" outlineLevel="0" collapsed="false">
      <c r="A22" s="4" t="n">
        <v>5000</v>
      </c>
      <c r="B22" s="4" t="s">
        <v>35</v>
      </c>
      <c r="C22" s="4" t="s">
        <v>34</v>
      </c>
      <c r="D22" s="5" t="n">
        <v>179484</v>
      </c>
      <c r="E22" s="5" t="n">
        <v>175071</v>
      </c>
      <c r="F22" s="5" t="n">
        <v>175153</v>
      </c>
      <c r="G22" s="5" t="n">
        <v>154659</v>
      </c>
      <c r="H22" s="5" t="n">
        <v>154756</v>
      </c>
      <c r="I22" s="5" t="n">
        <v>140364</v>
      </c>
      <c r="J22" s="5" t="n">
        <v>137540</v>
      </c>
      <c r="K22" s="5" t="n">
        <v>148274</v>
      </c>
      <c r="L22" s="5" t="n">
        <v>151949</v>
      </c>
      <c r="M22" s="5" t="n">
        <v>158873</v>
      </c>
      <c r="N22" s="5" t="n">
        <v>169359</v>
      </c>
      <c r="O22" s="5" t="n">
        <v>178668</v>
      </c>
      <c r="P22" s="6" t="n">
        <f aca="false">SUM(D22:O22)</f>
        <v>1924150</v>
      </c>
    </row>
    <row r="23" customFormat="false" ht="15" hidden="false" customHeight="false" outlineLevel="0" collapsed="false">
      <c r="A23" s="4" t="n">
        <v>5100</v>
      </c>
      <c r="B23" s="4" t="s">
        <v>36</v>
      </c>
      <c r="C23" s="4" t="s">
        <v>34</v>
      </c>
      <c r="D23" s="5" t="n">
        <v>73405</v>
      </c>
      <c r="E23" s="5" t="n">
        <v>65135</v>
      </c>
      <c r="F23" s="5" t="n">
        <v>64203</v>
      </c>
      <c r="G23" s="5" t="n">
        <v>61477</v>
      </c>
      <c r="H23" s="5" t="n">
        <v>60493</v>
      </c>
      <c r="I23" s="5" t="n">
        <v>67799</v>
      </c>
      <c r="J23" s="5" t="n">
        <v>63210</v>
      </c>
      <c r="K23" s="5" t="n">
        <v>63114</v>
      </c>
      <c r="L23" s="5" t="n">
        <v>58245</v>
      </c>
      <c r="M23" s="5" t="n">
        <v>70136</v>
      </c>
      <c r="N23" s="5" t="n">
        <v>64877</v>
      </c>
      <c r="O23" s="5" t="n">
        <v>74375</v>
      </c>
      <c r="P23" s="6" t="n">
        <f aca="false">SUM(D23:O23)</f>
        <v>786469</v>
      </c>
    </row>
    <row r="24" customFormat="false" ht="15" hidden="false" customHeight="false" outlineLevel="0" collapsed="false">
      <c r="A24" s="4" t="n">
        <v>5200</v>
      </c>
      <c r="B24" s="4" t="s">
        <v>37</v>
      </c>
      <c r="C24" s="4" t="s">
        <v>34</v>
      </c>
      <c r="D24" s="5" t="n">
        <v>27576</v>
      </c>
      <c r="E24" s="5" t="n">
        <v>24431</v>
      </c>
      <c r="F24" s="5" t="n">
        <v>23432</v>
      </c>
      <c r="G24" s="5" t="n">
        <v>22166</v>
      </c>
      <c r="H24" s="5" t="n">
        <v>22486</v>
      </c>
      <c r="I24" s="5" t="n">
        <v>21404</v>
      </c>
      <c r="J24" s="5" t="n">
        <v>18497</v>
      </c>
      <c r="K24" s="5" t="n">
        <v>17809</v>
      </c>
      <c r="L24" s="5" t="n">
        <v>20078</v>
      </c>
      <c r="M24" s="5" t="n">
        <v>21084</v>
      </c>
      <c r="N24" s="5" t="n">
        <v>21129</v>
      </c>
      <c r="O24" s="5" t="n">
        <v>28762</v>
      </c>
      <c r="P24" s="6" t="n">
        <f aca="false">SUM(D24:O24)</f>
        <v>268854</v>
      </c>
    </row>
    <row r="25" customFormat="false" ht="15" hidden="false" customHeight="false" outlineLevel="0" collapsed="false">
      <c r="A25" s="3" t="s">
        <v>38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false" outlineLevel="0" collapsed="false">
      <c r="A26" s="4" t="n">
        <v>6100</v>
      </c>
      <c r="B26" s="4" t="s">
        <v>39</v>
      </c>
      <c r="C26" s="4" t="s">
        <v>38</v>
      </c>
      <c r="D26" s="5" t="n">
        <v>218395</v>
      </c>
      <c r="E26" s="5" t="n">
        <v>212582</v>
      </c>
      <c r="F26" s="5" t="n">
        <v>214883</v>
      </c>
      <c r="G26" s="5" t="n">
        <v>212444</v>
      </c>
      <c r="H26" s="5" t="n">
        <v>208091</v>
      </c>
      <c r="I26" s="5" t="n">
        <v>211443</v>
      </c>
      <c r="J26" s="5" t="n">
        <v>203976</v>
      </c>
      <c r="K26" s="5" t="n">
        <v>211143</v>
      </c>
      <c r="L26" s="5" t="n">
        <v>213573</v>
      </c>
      <c r="M26" s="5" t="n">
        <v>210525</v>
      </c>
      <c r="N26" s="5" t="n">
        <v>213978</v>
      </c>
      <c r="O26" s="5" t="n">
        <v>210994</v>
      </c>
      <c r="P26" s="6" t="n">
        <f aca="false">SUM(D26:O26)</f>
        <v>2542027</v>
      </c>
    </row>
    <row r="27" customFormat="false" ht="15" hidden="false" customHeight="false" outlineLevel="0" collapsed="false">
      <c r="A27" s="4" t="n">
        <v>6200</v>
      </c>
      <c r="B27" s="4" t="s">
        <v>40</v>
      </c>
      <c r="C27" s="4" t="s">
        <v>38</v>
      </c>
      <c r="D27" s="5" t="n">
        <v>35532</v>
      </c>
      <c r="E27" s="5" t="n">
        <v>33986</v>
      </c>
      <c r="F27" s="5" t="n">
        <v>36137</v>
      </c>
      <c r="G27" s="5" t="n">
        <v>35760</v>
      </c>
      <c r="H27" s="5" t="n">
        <v>34136</v>
      </c>
      <c r="I27" s="5" t="n">
        <v>35342</v>
      </c>
      <c r="J27" s="5" t="n">
        <v>34644</v>
      </c>
      <c r="K27" s="5" t="n">
        <v>34679</v>
      </c>
      <c r="L27" s="5" t="n">
        <v>35828</v>
      </c>
      <c r="M27" s="5" t="n">
        <v>34375</v>
      </c>
      <c r="N27" s="5" t="n">
        <v>33702</v>
      </c>
      <c r="O27" s="5" t="n">
        <v>34274</v>
      </c>
      <c r="P27" s="6" t="n">
        <f aca="false">SUM(D27:O27)</f>
        <v>418395</v>
      </c>
    </row>
    <row r="28" customFormat="false" ht="15" hidden="false" customHeight="false" outlineLevel="0" collapsed="false">
      <c r="A28" s="4" t="n">
        <v>6300</v>
      </c>
      <c r="B28" s="4" t="s">
        <v>41</v>
      </c>
      <c r="C28" s="4" t="s">
        <v>38</v>
      </c>
      <c r="D28" s="5" t="n">
        <v>28230</v>
      </c>
      <c r="E28" s="5" t="n">
        <v>24603</v>
      </c>
      <c r="F28" s="5" t="n">
        <v>29077</v>
      </c>
      <c r="G28" s="5" t="n">
        <v>26874</v>
      </c>
      <c r="H28" s="5" t="n">
        <v>19312</v>
      </c>
      <c r="I28" s="5" t="n">
        <v>25745</v>
      </c>
      <c r="J28" s="5" t="n">
        <v>26267</v>
      </c>
      <c r="K28" s="5" t="n">
        <v>24204</v>
      </c>
      <c r="L28" s="5" t="n">
        <v>22149</v>
      </c>
      <c r="M28" s="5" t="n">
        <v>24562</v>
      </c>
      <c r="N28" s="5" t="n">
        <v>20669</v>
      </c>
      <c r="O28" s="5" t="n">
        <v>22732</v>
      </c>
      <c r="P28" s="6" t="n">
        <f aca="false">SUM(D28:O28)</f>
        <v>294424</v>
      </c>
    </row>
    <row r="29" customFormat="false" ht="15" hidden="false" customHeight="false" outlineLevel="0" collapsed="false">
      <c r="A29" s="4" t="n">
        <v>6400</v>
      </c>
      <c r="B29" s="4" t="s">
        <v>42</v>
      </c>
      <c r="C29" s="4" t="s">
        <v>38</v>
      </c>
      <c r="D29" s="5" t="n">
        <v>16573</v>
      </c>
      <c r="E29" s="5" t="n">
        <v>16697</v>
      </c>
      <c r="F29" s="5" t="n">
        <v>16414</v>
      </c>
      <c r="G29" s="5" t="n">
        <v>15755</v>
      </c>
      <c r="H29" s="5" t="n">
        <v>16423</v>
      </c>
      <c r="I29" s="5" t="n">
        <v>15505</v>
      </c>
      <c r="J29" s="5" t="n">
        <v>16976</v>
      </c>
      <c r="K29" s="5" t="n">
        <v>16812</v>
      </c>
      <c r="L29" s="5" t="n">
        <v>15764</v>
      </c>
      <c r="M29" s="5" t="n">
        <v>16500</v>
      </c>
      <c r="N29" s="5" t="n">
        <v>16135</v>
      </c>
      <c r="O29" s="5" t="n">
        <v>15833</v>
      </c>
      <c r="P29" s="6" t="n">
        <f aca="false">SUM(D29:O29)</f>
        <v>195387</v>
      </c>
    </row>
    <row r="30" customFormat="false" ht="15" hidden="false" customHeight="false" outlineLevel="0" collapsed="false">
      <c r="A30" s="4" t="n">
        <v>6500</v>
      </c>
      <c r="B30" s="4" t="s">
        <v>43</v>
      </c>
      <c r="C30" s="4" t="s">
        <v>38</v>
      </c>
      <c r="D30" s="5" t="n">
        <v>14912</v>
      </c>
      <c r="E30" s="5" t="n">
        <v>14786</v>
      </c>
      <c r="F30" s="5" t="n">
        <v>15477</v>
      </c>
      <c r="G30" s="5" t="n">
        <v>14569</v>
      </c>
      <c r="H30" s="5" t="n">
        <v>12291</v>
      </c>
      <c r="I30" s="5" t="n">
        <v>13637</v>
      </c>
      <c r="J30" s="5" t="n">
        <v>12097</v>
      </c>
      <c r="K30" s="5" t="n">
        <v>15669</v>
      </c>
      <c r="L30" s="5" t="n">
        <v>16025</v>
      </c>
      <c r="M30" s="5" t="n">
        <v>15508</v>
      </c>
      <c r="N30" s="5" t="n">
        <v>13277</v>
      </c>
      <c r="O30" s="5" t="n">
        <v>12619</v>
      </c>
      <c r="P30" s="6" t="n">
        <f aca="false">SUM(D30:O30)</f>
        <v>170867</v>
      </c>
    </row>
    <row r="31" customFormat="false" ht="15" hidden="false" customHeight="false" outlineLevel="0" collapsed="false">
      <c r="A31" s="4" t="n">
        <v>6600</v>
      </c>
      <c r="B31" s="4" t="s">
        <v>44</v>
      </c>
      <c r="C31" s="4" t="s">
        <v>38</v>
      </c>
      <c r="D31" s="5" t="n">
        <v>24489</v>
      </c>
      <c r="E31" s="5" t="n">
        <v>23871</v>
      </c>
      <c r="F31" s="5" t="n">
        <v>15173</v>
      </c>
      <c r="G31" s="5" t="n">
        <v>18163</v>
      </c>
      <c r="H31" s="5" t="n">
        <v>13893</v>
      </c>
      <c r="I31" s="5" t="n">
        <v>19453</v>
      </c>
      <c r="J31" s="5" t="n">
        <v>18869</v>
      </c>
      <c r="K31" s="5" t="n">
        <v>14119</v>
      </c>
      <c r="L31" s="5" t="n">
        <v>18645</v>
      </c>
      <c r="M31" s="5" t="n">
        <v>20053</v>
      </c>
      <c r="N31" s="5" t="n">
        <v>18373</v>
      </c>
      <c r="O31" s="5" t="n">
        <v>25436</v>
      </c>
      <c r="P31" s="6" t="n">
        <f aca="false">SUM(D31:O31)</f>
        <v>230537</v>
      </c>
    </row>
    <row r="32" customFormat="false" ht="15" hidden="false" customHeight="false" outlineLevel="0" collapsed="false">
      <c r="A32" s="4" t="n">
        <v>6610</v>
      </c>
      <c r="B32" s="4" t="s">
        <v>45</v>
      </c>
      <c r="C32" s="4" t="s">
        <v>38</v>
      </c>
      <c r="D32" s="5" t="n">
        <v>6895</v>
      </c>
      <c r="E32" s="5" t="n">
        <v>6389</v>
      </c>
      <c r="F32" s="5" t="n">
        <v>7094</v>
      </c>
      <c r="G32" s="5" t="n">
        <v>7762</v>
      </c>
      <c r="H32" s="5" t="n">
        <v>6313</v>
      </c>
      <c r="I32" s="5" t="n">
        <v>6689</v>
      </c>
      <c r="J32" s="5" t="n">
        <v>8706</v>
      </c>
      <c r="K32" s="5" t="n">
        <v>7616</v>
      </c>
      <c r="L32" s="5" t="n">
        <v>6997</v>
      </c>
      <c r="M32" s="5" t="n">
        <v>7126</v>
      </c>
      <c r="N32" s="5" t="n">
        <v>6098</v>
      </c>
      <c r="O32" s="5" t="n">
        <v>6561</v>
      </c>
      <c r="P32" s="6" t="n">
        <f aca="false">SUM(D32:O32)</f>
        <v>84246</v>
      </c>
    </row>
    <row r="33" customFormat="false" ht="15" hidden="false" customHeight="false" outlineLevel="0" collapsed="false">
      <c r="A33" s="4" t="n">
        <v>6620</v>
      </c>
      <c r="B33" s="4" t="s">
        <v>46</v>
      </c>
      <c r="C33" s="4" t="s">
        <v>38</v>
      </c>
      <c r="D33" s="5" t="n">
        <v>3220</v>
      </c>
      <c r="E33" s="5" t="n">
        <v>3346</v>
      </c>
      <c r="F33" s="5" t="n">
        <v>2980</v>
      </c>
      <c r="G33" s="5" t="n">
        <v>3049</v>
      </c>
      <c r="H33" s="5" t="n">
        <v>2921</v>
      </c>
      <c r="I33" s="5" t="n">
        <v>3422</v>
      </c>
      <c r="J33" s="5" t="n">
        <v>3113</v>
      </c>
      <c r="K33" s="5" t="n">
        <v>3786</v>
      </c>
      <c r="L33" s="5" t="n">
        <v>3722</v>
      </c>
      <c r="M33" s="5" t="n">
        <v>2849</v>
      </c>
      <c r="N33" s="5" t="n">
        <v>3008</v>
      </c>
      <c r="O33" s="5" t="n">
        <v>3393</v>
      </c>
      <c r="P33" s="6" t="n">
        <f aca="false">SUM(D33:O33)</f>
        <v>38809</v>
      </c>
    </row>
    <row r="34" customFormat="false" ht="15" hidden="false" customHeight="false" outlineLevel="0" collapsed="false">
      <c r="A34" s="4" t="n">
        <v>6630</v>
      </c>
      <c r="B34" s="4" t="s">
        <v>47</v>
      </c>
      <c r="C34" s="4" t="s">
        <v>38</v>
      </c>
      <c r="D34" s="5" t="n">
        <v>5723</v>
      </c>
      <c r="E34" s="5" t="n">
        <v>5785</v>
      </c>
      <c r="F34" s="5" t="n">
        <v>6108</v>
      </c>
      <c r="G34" s="5" t="n">
        <v>5746</v>
      </c>
      <c r="H34" s="5" t="n">
        <v>5843</v>
      </c>
      <c r="I34" s="5" t="n">
        <v>5993</v>
      </c>
      <c r="J34" s="5" t="n">
        <v>5843</v>
      </c>
      <c r="K34" s="5" t="n">
        <v>5876</v>
      </c>
      <c r="L34" s="5" t="n">
        <v>5783</v>
      </c>
      <c r="M34" s="5" t="n">
        <v>5773</v>
      </c>
      <c r="N34" s="5" t="n">
        <v>5917</v>
      </c>
      <c r="O34" s="5" t="n">
        <v>5698</v>
      </c>
      <c r="P34" s="6" t="n">
        <f aca="false">SUM(D34:O34)</f>
        <v>70088</v>
      </c>
    </row>
    <row r="35" customFormat="false" ht="15" hidden="false" customHeight="false" outlineLevel="0" collapsed="false">
      <c r="A35" s="4" t="n">
        <v>6640</v>
      </c>
      <c r="B35" s="4" t="s">
        <v>48</v>
      </c>
      <c r="C35" s="4" t="s">
        <v>38</v>
      </c>
      <c r="D35" s="5" t="n">
        <v>1210</v>
      </c>
      <c r="E35" s="5" t="n">
        <v>1199</v>
      </c>
      <c r="F35" s="5" t="n">
        <v>1221</v>
      </c>
      <c r="G35" s="5" t="n">
        <v>1044</v>
      </c>
      <c r="H35" s="5" t="n">
        <v>1096</v>
      </c>
      <c r="I35" s="5" t="n">
        <v>1133</v>
      </c>
      <c r="J35" s="5" t="n">
        <v>1224</v>
      </c>
      <c r="K35" s="5" t="n">
        <v>1054</v>
      </c>
      <c r="L35" s="5" t="n">
        <v>1054</v>
      </c>
      <c r="M35" s="5" t="n">
        <v>1152</v>
      </c>
      <c r="N35" s="5" t="n">
        <v>1119</v>
      </c>
      <c r="O35" s="5" t="n">
        <v>1109</v>
      </c>
      <c r="P35" s="6" t="n">
        <f aca="false">SUM(D35:O35)</f>
        <v>13615</v>
      </c>
    </row>
    <row r="36" customFormat="false" ht="15" hidden="false" customHeight="false" outlineLevel="0" collapsed="false">
      <c r="A36" s="4" t="n">
        <v>6650</v>
      </c>
      <c r="B36" s="4" t="s">
        <v>49</v>
      </c>
      <c r="C36" s="4" t="s">
        <v>38</v>
      </c>
      <c r="D36" s="5" t="n">
        <v>28154</v>
      </c>
      <c r="E36" s="5" t="n">
        <v>33957</v>
      </c>
      <c r="F36" s="5" t="n">
        <v>28372</v>
      </c>
      <c r="G36" s="5" t="n">
        <v>31036</v>
      </c>
      <c r="H36" s="5" t="n">
        <v>27432</v>
      </c>
      <c r="I36" s="5" t="n">
        <v>22499</v>
      </c>
      <c r="J36" s="5" t="n">
        <v>29421</v>
      </c>
      <c r="K36" s="5" t="n">
        <v>28442</v>
      </c>
      <c r="L36" s="5" t="n">
        <v>31718</v>
      </c>
      <c r="M36" s="5" t="n">
        <v>32464</v>
      </c>
      <c r="N36" s="5" t="n">
        <v>34080</v>
      </c>
      <c r="O36" s="5" t="n">
        <v>28825</v>
      </c>
      <c r="P36" s="6" t="n">
        <f aca="false">SUM(D36:O36)</f>
        <v>356400</v>
      </c>
    </row>
    <row r="37" customFormat="false" ht="15" hidden="false" customHeight="false" outlineLevel="0" collapsed="false">
      <c r="A37" s="4" t="n">
        <v>6700</v>
      </c>
      <c r="B37" s="4" t="s">
        <v>50</v>
      </c>
      <c r="C37" s="4" t="s">
        <v>38</v>
      </c>
      <c r="D37" s="5" t="n">
        <v>12481</v>
      </c>
      <c r="E37" s="5" t="n">
        <v>12319</v>
      </c>
      <c r="F37" s="5" t="n">
        <v>12310</v>
      </c>
      <c r="G37" s="5" t="n">
        <v>12603</v>
      </c>
      <c r="H37" s="5" t="n">
        <v>12699</v>
      </c>
      <c r="I37" s="5" t="n">
        <v>12516</v>
      </c>
      <c r="J37" s="5" t="n">
        <v>12595</v>
      </c>
      <c r="K37" s="5" t="n">
        <v>12331</v>
      </c>
      <c r="L37" s="5" t="n">
        <v>12183</v>
      </c>
      <c r="M37" s="5" t="n">
        <v>12339</v>
      </c>
      <c r="N37" s="5" t="n">
        <v>12329</v>
      </c>
      <c r="O37" s="5" t="n">
        <v>12365</v>
      </c>
      <c r="P37" s="6" t="n">
        <f aca="false">SUM(D37:O37)</f>
        <v>149070</v>
      </c>
    </row>
    <row r="38" customFormat="false" ht="15" hidden="false" customHeight="false" outlineLevel="0" collapsed="false">
      <c r="A38" s="3" t="s">
        <v>51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" hidden="false" customHeight="false" outlineLevel="0" collapsed="false">
      <c r="A39" s="4" t="n">
        <v>7000</v>
      </c>
      <c r="B39" s="4" t="s">
        <v>52</v>
      </c>
      <c r="C39" s="4" t="s">
        <v>51</v>
      </c>
      <c r="D39" s="5" t="n">
        <v>4730</v>
      </c>
      <c r="E39" s="5" t="n">
        <v>4490</v>
      </c>
      <c r="F39" s="5" t="n">
        <v>4602</v>
      </c>
      <c r="G39" s="5" t="n">
        <v>4569</v>
      </c>
      <c r="H39" s="5" t="n">
        <v>4726</v>
      </c>
      <c r="I39" s="5" t="n">
        <v>4824</v>
      </c>
      <c r="J39" s="5" t="n">
        <v>4588</v>
      </c>
      <c r="K39" s="5" t="n">
        <v>4872</v>
      </c>
      <c r="L39" s="5" t="n">
        <v>4680</v>
      </c>
      <c r="M39" s="5" t="n">
        <v>4606</v>
      </c>
      <c r="N39" s="5" t="n">
        <v>4918</v>
      </c>
      <c r="O39" s="5" t="n">
        <v>5080</v>
      </c>
      <c r="P39" s="6" t="n">
        <f aca="false">SUM(D39:O39)</f>
        <v>56685</v>
      </c>
    </row>
    <row r="40" customFormat="false" ht="15" hidden="false" customHeight="false" outlineLevel="0" collapsed="false">
      <c r="A40" s="4" t="n">
        <v>7100</v>
      </c>
      <c r="B40" s="4" t="s">
        <v>53</v>
      </c>
      <c r="C40" s="4" t="s">
        <v>51</v>
      </c>
      <c r="D40" s="5" t="n">
        <v>1662</v>
      </c>
      <c r="E40" s="5" t="n">
        <v>1831</v>
      </c>
      <c r="F40" s="5" t="n">
        <v>1296</v>
      </c>
      <c r="G40" s="5" t="n">
        <v>1427</v>
      </c>
      <c r="H40" s="5" t="n">
        <v>2035</v>
      </c>
      <c r="I40" s="5" t="n">
        <v>1626</v>
      </c>
      <c r="J40" s="5" t="n">
        <v>1626</v>
      </c>
      <c r="K40" s="5" t="n">
        <v>1866</v>
      </c>
      <c r="L40" s="5" t="n">
        <v>1200</v>
      </c>
      <c r="M40" s="5" t="n">
        <v>1727</v>
      </c>
      <c r="N40" s="5" t="n">
        <v>1595</v>
      </c>
      <c r="O40" s="5" t="n">
        <v>1967</v>
      </c>
      <c r="P40" s="6" t="n">
        <f aca="false">SUM(D40:O40)</f>
        <v>19858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4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57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58</v>
      </c>
    </row>
    <row r="4" customFormat="false" ht="15" hidden="false" customHeight="false" outlineLevel="0" collapsed="false">
      <c r="A4" s="7" t="s">
        <v>59</v>
      </c>
      <c r="B4" s="8" t="n">
        <v>82</v>
      </c>
      <c r="C4" s="8" t="n">
        <v>83</v>
      </c>
      <c r="D4" s="8" t="n">
        <v>83</v>
      </c>
      <c r="E4" s="8" t="n">
        <v>85</v>
      </c>
      <c r="F4" s="8" t="n">
        <v>85</v>
      </c>
      <c r="G4" s="8" t="n">
        <v>84</v>
      </c>
      <c r="H4" s="8" t="n">
        <v>84</v>
      </c>
      <c r="I4" s="8" t="n">
        <v>86</v>
      </c>
      <c r="J4" s="8" t="n">
        <v>87</v>
      </c>
      <c r="K4" s="8" t="n">
        <v>88</v>
      </c>
      <c r="L4" s="8" t="n">
        <v>89</v>
      </c>
      <c r="M4" s="8" t="n">
        <v>90</v>
      </c>
      <c r="N4" s="9" t="n">
        <f aca="false">AVERAGE(B4:M4)</f>
        <v>85.5</v>
      </c>
    </row>
    <row r="5" customFormat="false" ht="15" hidden="false" customHeight="false" outlineLevel="0" collapsed="false">
      <c r="A5" s="7" t="s">
        <v>60</v>
      </c>
      <c r="B5" s="8" t="n">
        <v>62</v>
      </c>
      <c r="C5" s="8" t="n">
        <v>63</v>
      </c>
      <c r="D5" s="8" t="n">
        <v>63</v>
      </c>
      <c r="E5" s="8" t="n">
        <v>64</v>
      </c>
      <c r="F5" s="8" t="n">
        <v>64</v>
      </c>
      <c r="G5" s="8" t="n">
        <v>63</v>
      </c>
      <c r="H5" s="8" t="n">
        <v>63</v>
      </c>
      <c r="I5" s="8" t="n">
        <v>65</v>
      </c>
      <c r="J5" s="8" t="n">
        <v>66</v>
      </c>
      <c r="K5" s="8" t="n">
        <v>67</v>
      </c>
      <c r="L5" s="8" t="n">
        <v>68</v>
      </c>
      <c r="M5" s="8" t="n">
        <v>69</v>
      </c>
      <c r="N5" s="9" t="n">
        <f aca="false">AVERAGE(B5:M5)</f>
        <v>64.75</v>
      </c>
    </row>
    <row r="6" customFormat="false" ht="15" hidden="false" customHeight="false" outlineLevel="0" collapsed="false">
      <c r="A6" s="7" t="s">
        <v>61</v>
      </c>
      <c r="B6" s="8" t="n">
        <v>168</v>
      </c>
      <c r="C6" s="8" t="n">
        <v>168</v>
      </c>
      <c r="D6" s="8" t="n">
        <v>168</v>
      </c>
      <c r="E6" s="8" t="n">
        <v>168</v>
      </c>
      <c r="F6" s="8" t="n">
        <v>168</v>
      </c>
      <c r="G6" s="8" t="n">
        <v>168</v>
      </c>
      <c r="H6" s="8" t="n">
        <v>168</v>
      </c>
      <c r="I6" s="8" t="n">
        <v>168</v>
      </c>
      <c r="J6" s="8" t="n">
        <v>168</v>
      </c>
      <c r="K6" s="8" t="n">
        <v>168</v>
      </c>
      <c r="L6" s="8" t="n">
        <v>168</v>
      </c>
      <c r="M6" s="8" t="n">
        <v>168</v>
      </c>
      <c r="N6" s="9" t="n">
        <f aca="false">AVERAGE(B6:M6)</f>
        <v>168</v>
      </c>
    </row>
    <row r="7" customFormat="false" ht="15" hidden="false" customHeight="false" outlineLevel="0" collapsed="false">
      <c r="A7" s="7" t="s">
        <v>62</v>
      </c>
      <c r="B7" s="8" t="n">
        <v>8200</v>
      </c>
      <c r="C7" s="8" t="n">
        <v>8350</v>
      </c>
      <c r="D7" s="8" t="n">
        <v>8100</v>
      </c>
      <c r="E7" s="8" t="n">
        <v>7900</v>
      </c>
      <c r="F7" s="8" t="n">
        <v>7700</v>
      </c>
      <c r="G7" s="8" t="n">
        <v>7500</v>
      </c>
      <c r="H7" s="8" t="n">
        <v>7300</v>
      </c>
      <c r="I7" s="8" t="n">
        <v>7600</v>
      </c>
      <c r="J7" s="8" t="n">
        <v>8000</v>
      </c>
      <c r="K7" s="8" t="n">
        <v>8400</v>
      </c>
      <c r="L7" s="8" t="n">
        <v>8700</v>
      </c>
      <c r="M7" s="8" t="n">
        <v>9100</v>
      </c>
      <c r="N7" s="9" t="n">
        <f aca="false">SUM(B7:M7)</f>
        <v>96850</v>
      </c>
    </row>
    <row r="8" customFormat="false" ht="15" hidden="false" customHeight="false" outlineLevel="0" collapsed="false">
      <c r="A8" s="7" t="s">
        <v>63</v>
      </c>
      <c r="B8" s="10" t="n">
        <v>0.78</v>
      </c>
      <c r="C8" s="10" t="n">
        <v>0.79</v>
      </c>
      <c r="D8" s="10" t="n">
        <v>0.77</v>
      </c>
      <c r="E8" s="10" t="n">
        <v>0.74</v>
      </c>
      <c r="F8" s="10" t="n">
        <v>0.72</v>
      </c>
      <c r="G8" s="10" t="n">
        <v>0.71</v>
      </c>
      <c r="H8" s="10" t="n">
        <v>0.69</v>
      </c>
      <c r="I8" s="10" t="n">
        <v>0.7</v>
      </c>
      <c r="J8" s="10" t="n">
        <v>0.72</v>
      </c>
      <c r="K8" s="10" t="n">
        <v>0.75</v>
      </c>
      <c r="L8" s="10" t="n">
        <v>0.76</v>
      </c>
      <c r="M8" s="10" t="n">
        <v>0.78</v>
      </c>
      <c r="N8" s="11" t="n">
        <f aca="false">AVERAGE(B8:M8)</f>
        <v>0.7425</v>
      </c>
    </row>
    <row r="9" customFormat="false" ht="15" hidden="false" customHeight="false" outlineLevel="0" collapsed="false">
      <c r="A9" s="7" t="s">
        <v>64</v>
      </c>
      <c r="B9" s="12" t="n">
        <v>155</v>
      </c>
      <c r="C9" s="12" t="n">
        <v>155</v>
      </c>
      <c r="D9" s="12" t="n">
        <v>158</v>
      </c>
      <c r="E9" s="12" t="n">
        <v>158</v>
      </c>
      <c r="F9" s="12" t="n">
        <v>160</v>
      </c>
      <c r="G9" s="12" t="n">
        <v>160</v>
      </c>
      <c r="H9" s="12" t="n">
        <v>160</v>
      </c>
      <c r="I9" s="12" t="n">
        <v>162</v>
      </c>
      <c r="J9" s="12" t="n">
        <v>162</v>
      </c>
      <c r="K9" s="12" t="n">
        <v>165</v>
      </c>
      <c r="L9" s="12" t="n">
        <v>165</v>
      </c>
      <c r="M9" s="12" t="n">
        <v>168</v>
      </c>
      <c r="N9" s="13" t="n">
        <f aca="false">AVERAGE(B9:M9)</f>
        <v>160.666666666667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65</v>
      </c>
      <c r="B1" s="1"/>
      <c r="C1" s="1"/>
    </row>
    <row r="3" customFormat="false" ht="15" hidden="false" customHeight="false" outlineLevel="0" collapsed="false">
      <c r="A3" s="2" t="s">
        <v>66</v>
      </c>
      <c r="B3" s="2" t="s">
        <v>67</v>
      </c>
      <c r="C3" s="2" t="s">
        <v>68</v>
      </c>
    </row>
    <row r="4" customFormat="false" ht="15" hidden="false" customHeight="false" outlineLevel="0" collapsed="false">
      <c r="A4" s="14" t="s">
        <v>69</v>
      </c>
      <c r="B4" s="15" t="s">
        <v>70</v>
      </c>
      <c r="C4" s="16" t="s">
        <v>71</v>
      </c>
    </row>
    <row r="5" customFormat="false" ht="15" hidden="false" customHeight="false" outlineLevel="0" collapsed="false">
      <c r="A5" s="14" t="s">
        <v>72</v>
      </c>
      <c r="B5" s="15" t="s">
        <v>70</v>
      </c>
      <c r="C5" s="16" t="s">
        <v>73</v>
      </c>
    </row>
    <row r="6" customFormat="false" ht="15" hidden="false" customHeight="false" outlineLevel="0" collapsed="false">
      <c r="A6" s="14" t="s">
        <v>74</v>
      </c>
      <c r="B6" s="15" t="s">
        <v>75</v>
      </c>
      <c r="C6" s="16" t="s">
        <v>76</v>
      </c>
    </row>
    <row r="7" customFormat="false" ht="15" hidden="false" customHeight="false" outlineLevel="0" collapsed="false">
      <c r="A7" s="14" t="s">
        <v>77</v>
      </c>
      <c r="B7" s="15" t="s">
        <v>78</v>
      </c>
      <c r="C7" s="16" t="s">
        <v>79</v>
      </c>
    </row>
    <row r="8" customFormat="false" ht="15" hidden="false" customHeight="false" outlineLevel="0" collapsed="false">
      <c r="A8" s="14" t="s">
        <v>80</v>
      </c>
      <c r="B8" s="15" t="s">
        <v>81</v>
      </c>
      <c r="C8" s="16" t="s">
        <v>82</v>
      </c>
    </row>
    <row r="9" customFormat="false" ht="15" hidden="false" customHeight="false" outlineLevel="0" collapsed="false">
      <c r="A9" s="14" t="s">
        <v>83</v>
      </c>
      <c r="B9" s="15" t="s">
        <v>84</v>
      </c>
      <c r="C9" s="16" t="s">
        <v>85</v>
      </c>
    </row>
    <row r="10" customFormat="false" ht="15" hidden="false" customHeight="false" outlineLevel="0" collapsed="false">
      <c r="A10" s="14" t="s">
        <v>86</v>
      </c>
      <c r="B10" s="15" t="s">
        <v>87</v>
      </c>
      <c r="C10" s="16" t="s">
        <v>88</v>
      </c>
    </row>
    <row r="11" customFormat="false" ht="15" hidden="false" customHeight="false" outlineLevel="0" collapsed="false">
      <c r="A11" s="14" t="s">
        <v>89</v>
      </c>
      <c r="B11" s="15" t="s">
        <v>90</v>
      </c>
      <c r="C11" s="16" t="s">
        <v>91</v>
      </c>
    </row>
    <row r="12" customFormat="false" ht="15" hidden="false" customHeight="false" outlineLevel="0" collapsed="false">
      <c r="A12" s="14" t="s">
        <v>92</v>
      </c>
      <c r="B12" s="15" t="s">
        <v>93</v>
      </c>
      <c r="C12" s="16" t="s">
        <v>94</v>
      </c>
    </row>
    <row r="13" customFormat="false" ht="15" hidden="false" customHeight="false" outlineLevel="0" collapsed="false">
      <c r="A13" s="14" t="s">
        <v>95</v>
      </c>
      <c r="B13" s="15" t="s">
        <v>96</v>
      </c>
      <c r="C13" s="16" t="s">
        <v>97</v>
      </c>
    </row>
    <row r="14" customFormat="false" ht="15" hidden="false" customHeight="false" outlineLevel="0" collapsed="false">
      <c r="A14" s="14" t="s">
        <v>98</v>
      </c>
      <c r="B14" s="15" t="s">
        <v>99</v>
      </c>
      <c r="C14" s="16" t="s">
        <v>100</v>
      </c>
    </row>
    <row r="15" customFormat="false" ht="15" hidden="false" customHeight="false" outlineLevel="0" collapsed="false">
      <c r="A15" s="14" t="s">
        <v>50</v>
      </c>
      <c r="B15" s="15" t="s">
        <v>101</v>
      </c>
      <c r="C15" s="16" t="s">
        <v>102</v>
      </c>
    </row>
    <row r="16" customFormat="false" ht="15" hidden="false" customHeight="false" outlineLevel="0" collapsed="false">
      <c r="A16" s="14" t="s">
        <v>103</v>
      </c>
      <c r="B16" s="15" t="s">
        <v>104</v>
      </c>
      <c r="C16" s="16" t="s">
        <v>105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2026-03-02T18:54:15Z</dcterms:created>
  <dc:creator>openpyxl</dc:creator>
  <dc:description/>
  <dc:language>en-US</dc:language>
  <cp:lastModifiedBy/>
  <dcterms:modified xsi:type="dcterms:W3CDTF">2026-03-02T18:54:15Z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